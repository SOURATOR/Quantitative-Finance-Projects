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uradeep\Downloads\"/>
    </mc:Choice>
  </mc:AlternateContent>
  <xr:revisionPtr revIDLastSave="0" documentId="13_ncr:1_{71AC80E7-0F67-433E-B2EB-01B5C692C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__OpenSolverCache__" sheetId="2" state="hidden" r:id="rId2"/>
    <sheet name="__OpenSolver__" sheetId="3" state="hidden" r:id="rId3"/>
  </sheets>
  <definedNames>
    <definedName name="solver_adj" localSheetId="0">Sheet1!$R$23:$T$23</definedName>
    <definedName name="solver_lhs1" localSheetId="0">Sheet1!$R$23</definedName>
    <definedName name="solver_lhs2" localSheetId="0">Sheet1!$S$23</definedName>
    <definedName name="solver_lhs3" localSheetId="0">Sheet1!$T$23</definedName>
    <definedName name="solver_lhs4" localSheetId="0">Sheet1!$U$23</definedName>
    <definedName name="solver_opt" localSheetId="0">Sheet1!$R$26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3" l="1"/>
  <c r="A14" i="3"/>
  <c r="A13" i="3"/>
  <c r="A11" i="3"/>
  <c r="A9" i="3"/>
  <c r="A8" i="3"/>
  <c r="A6" i="3"/>
  <c r="A5" i="3"/>
  <c r="A4" i="3"/>
  <c r="A3" i="3"/>
  <c r="A2" i="3"/>
  <c r="A1" i="3"/>
  <c r="J758" i="1"/>
  <c r="I758" i="1"/>
  <c r="C758" i="1"/>
  <c r="B758" i="1"/>
  <c r="G758" i="1" s="1"/>
  <c r="J757" i="1"/>
  <c r="I757" i="1"/>
  <c r="C757" i="1"/>
  <c r="H757" i="1" s="1"/>
  <c r="B757" i="1"/>
  <c r="G757" i="1" s="1"/>
  <c r="J756" i="1"/>
  <c r="I756" i="1"/>
  <c r="G756" i="1"/>
  <c r="C756" i="1"/>
  <c r="B756" i="1"/>
  <c r="J755" i="1"/>
  <c r="I755" i="1"/>
  <c r="C755" i="1"/>
  <c r="B755" i="1"/>
  <c r="G755" i="1" s="1"/>
  <c r="J754" i="1"/>
  <c r="I754" i="1"/>
  <c r="C754" i="1"/>
  <c r="H754" i="1" s="1"/>
  <c r="B754" i="1"/>
  <c r="G754" i="1" s="1"/>
  <c r="J753" i="1"/>
  <c r="I753" i="1"/>
  <c r="C753" i="1"/>
  <c r="B753" i="1"/>
  <c r="G753" i="1" s="1"/>
  <c r="J752" i="1"/>
  <c r="I752" i="1"/>
  <c r="C752" i="1"/>
  <c r="B752" i="1"/>
  <c r="G752" i="1" s="1"/>
  <c r="J751" i="1"/>
  <c r="I751" i="1"/>
  <c r="C751" i="1"/>
  <c r="B751" i="1"/>
  <c r="G751" i="1" s="1"/>
  <c r="J750" i="1"/>
  <c r="I750" i="1"/>
  <c r="C750" i="1"/>
  <c r="B750" i="1"/>
  <c r="G750" i="1" s="1"/>
  <c r="J749" i="1"/>
  <c r="I749" i="1"/>
  <c r="C749" i="1"/>
  <c r="B749" i="1"/>
  <c r="G749" i="1" s="1"/>
  <c r="J748" i="1"/>
  <c r="I748" i="1"/>
  <c r="G748" i="1"/>
  <c r="C748" i="1"/>
  <c r="B748" i="1"/>
  <c r="J747" i="1"/>
  <c r="I747" i="1"/>
  <c r="C747" i="1"/>
  <c r="B747" i="1"/>
  <c r="G747" i="1" s="1"/>
  <c r="J746" i="1"/>
  <c r="I746" i="1"/>
  <c r="C746" i="1"/>
  <c r="B746" i="1"/>
  <c r="G746" i="1" s="1"/>
  <c r="J745" i="1"/>
  <c r="I745" i="1"/>
  <c r="C745" i="1"/>
  <c r="B745" i="1"/>
  <c r="G745" i="1" s="1"/>
  <c r="J744" i="1"/>
  <c r="I744" i="1"/>
  <c r="C744" i="1"/>
  <c r="B744" i="1"/>
  <c r="G744" i="1" s="1"/>
  <c r="J743" i="1"/>
  <c r="I743" i="1"/>
  <c r="C743" i="1"/>
  <c r="B743" i="1"/>
  <c r="G743" i="1" s="1"/>
  <c r="J742" i="1"/>
  <c r="I742" i="1"/>
  <c r="C742" i="1"/>
  <c r="B742" i="1"/>
  <c r="G742" i="1" s="1"/>
  <c r="J741" i="1"/>
  <c r="I741" i="1"/>
  <c r="C741" i="1"/>
  <c r="B741" i="1"/>
  <c r="G741" i="1" s="1"/>
  <c r="J740" i="1"/>
  <c r="I740" i="1"/>
  <c r="G740" i="1"/>
  <c r="C740" i="1"/>
  <c r="B740" i="1"/>
  <c r="J739" i="1"/>
  <c r="I739" i="1"/>
  <c r="C739" i="1"/>
  <c r="H739" i="1" s="1"/>
  <c r="B739" i="1"/>
  <c r="G739" i="1" s="1"/>
  <c r="J738" i="1"/>
  <c r="I738" i="1"/>
  <c r="G738" i="1"/>
  <c r="C738" i="1"/>
  <c r="B738" i="1"/>
  <c r="J737" i="1"/>
  <c r="I737" i="1"/>
  <c r="C737" i="1"/>
  <c r="B737" i="1"/>
  <c r="G737" i="1" s="1"/>
  <c r="J736" i="1"/>
  <c r="I736" i="1"/>
  <c r="C736" i="1"/>
  <c r="B736" i="1"/>
  <c r="G736" i="1" s="1"/>
  <c r="J735" i="1"/>
  <c r="I735" i="1"/>
  <c r="C735" i="1"/>
  <c r="B735" i="1"/>
  <c r="G735" i="1" s="1"/>
  <c r="J734" i="1"/>
  <c r="I734" i="1"/>
  <c r="C734" i="1"/>
  <c r="B734" i="1"/>
  <c r="G734" i="1" s="1"/>
  <c r="J733" i="1"/>
  <c r="I733" i="1"/>
  <c r="C733" i="1"/>
  <c r="B733" i="1"/>
  <c r="G733" i="1" s="1"/>
  <c r="J732" i="1"/>
  <c r="I732" i="1"/>
  <c r="G732" i="1"/>
  <c r="C732" i="1"/>
  <c r="B732" i="1"/>
  <c r="J731" i="1"/>
  <c r="I731" i="1"/>
  <c r="C731" i="1"/>
  <c r="H731" i="1" s="1"/>
  <c r="B731" i="1"/>
  <c r="G731" i="1" s="1"/>
  <c r="J730" i="1"/>
  <c r="I730" i="1"/>
  <c r="C730" i="1"/>
  <c r="B730" i="1"/>
  <c r="G730" i="1" s="1"/>
  <c r="J729" i="1"/>
  <c r="I729" i="1"/>
  <c r="C729" i="1"/>
  <c r="B729" i="1"/>
  <c r="G729" i="1" s="1"/>
  <c r="J728" i="1"/>
  <c r="I728" i="1"/>
  <c r="C728" i="1"/>
  <c r="H728" i="1" s="1"/>
  <c r="B728" i="1"/>
  <c r="G728" i="1" s="1"/>
  <c r="J727" i="1"/>
  <c r="I727" i="1"/>
  <c r="C727" i="1"/>
  <c r="B727" i="1"/>
  <c r="G727" i="1" s="1"/>
  <c r="J726" i="1"/>
  <c r="I726" i="1"/>
  <c r="C726" i="1"/>
  <c r="B726" i="1"/>
  <c r="G726" i="1" s="1"/>
  <c r="J725" i="1"/>
  <c r="I725" i="1"/>
  <c r="C725" i="1"/>
  <c r="B725" i="1"/>
  <c r="G725" i="1" s="1"/>
  <c r="J724" i="1"/>
  <c r="I724" i="1"/>
  <c r="G724" i="1"/>
  <c r="C724" i="1"/>
  <c r="B724" i="1"/>
  <c r="J723" i="1"/>
  <c r="I723" i="1"/>
  <c r="C723" i="1"/>
  <c r="H723" i="1" s="1"/>
  <c r="B723" i="1"/>
  <c r="G723" i="1" s="1"/>
  <c r="J722" i="1"/>
  <c r="I722" i="1"/>
  <c r="G722" i="1"/>
  <c r="C722" i="1"/>
  <c r="B722" i="1"/>
  <c r="J721" i="1"/>
  <c r="I721" i="1"/>
  <c r="C721" i="1"/>
  <c r="B721" i="1"/>
  <c r="G721" i="1" s="1"/>
  <c r="J720" i="1"/>
  <c r="I720" i="1"/>
  <c r="C720" i="1"/>
  <c r="H720" i="1" s="1"/>
  <c r="B720" i="1"/>
  <c r="G720" i="1" s="1"/>
  <c r="J719" i="1"/>
  <c r="I719" i="1"/>
  <c r="C719" i="1"/>
  <c r="B719" i="1"/>
  <c r="G719" i="1" s="1"/>
  <c r="J718" i="1"/>
  <c r="I718" i="1"/>
  <c r="C718" i="1"/>
  <c r="B718" i="1"/>
  <c r="G718" i="1" s="1"/>
  <c r="J717" i="1"/>
  <c r="I717" i="1"/>
  <c r="C717" i="1"/>
  <c r="B717" i="1"/>
  <c r="G717" i="1" s="1"/>
  <c r="J716" i="1"/>
  <c r="I716" i="1"/>
  <c r="G716" i="1"/>
  <c r="C716" i="1"/>
  <c r="B716" i="1"/>
  <c r="J715" i="1"/>
  <c r="I715" i="1"/>
  <c r="C715" i="1"/>
  <c r="B715" i="1"/>
  <c r="G715" i="1" s="1"/>
  <c r="J714" i="1"/>
  <c r="I714" i="1"/>
  <c r="C714" i="1"/>
  <c r="B714" i="1"/>
  <c r="G714" i="1" s="1"/>
  <c r="J713" i="1"/>
  <c r="I713" i="1"/>
  <c r="C713" i="1"/>
  <c r="B713" i="1"/>
  <c r="G713" i="1" s="1"/>
  <c r="J712" i="1"/>
  <c r="I712" i="1"/>
  <c r="C712" i="1"/>
  <c r="B712" i="1"/>
  <c r="G712" i="1" s="1"/>
  <c r="J711" i="1"/>
  <c r="I711" i="1"/>
  <c r="C711" i="1"/>
  <c r="B711" i="1"/>
  <c r="G711" i="1" s="1"/>
  <c r="J710" i="1"/>
  <c r="I710" i="1"/>
  <c r="C710" i="1"/>
  <c r="B710" i="1"/>
  <c r="G710" i="1" s="1"/>
  <c r="J709" i="1"/>
  <c r="I709" i="1"/>
  <c r="C709" i="1"/>
  <c r="B709" i="1"/>
  <c r="G709" i="1" s="1"/>
  <c r="J708" i="1"/>
  <c r="I708" i="1"/>
  <c r="G708" i="1"/>
  <c r="C708" i="1"/>
  <c r="B708" i="1"/>
  <c r="J707" i="1"/>
  <c r="I707" i="1"/>
  <c r="C707" i="1"/>
  <c r="B707" i="1"/>
  <c r="G707" i="1" s="1"/>
  <c r="J706" i="1"/>
  <c r="I706" i="1"/>
  <c r="C706" i="1"/>
  <c r="B706" i="1"/>
  <c r="G706" i="1" s="1"/>
  <c r="J705" i="1"/>
  <c r="I705" i="1"/>
  <c r="C705" i="1"/>
  <c r="B705" i="1"/>
  <c r="G705" i="1" s="1"/>
  <c r="J704" i="1"/>
  <c r="I704" i="1"/>
  <c r="C704" i="1"/>
  <c r="B704" i="1"/>
  <c r="G704" i="1" s="1"/>
  <c r="J703" i="1"/>
  <c r="I703" i="1"/>
  <c r="C703" i="1"/>
  <c r="B703" i="1"/>
  <c r="G703" i="1" s="1"/>
  <c r="J702" i="1"/>
  <c r="I702" i="1"/>
  <c r="C702" i="1"/>
  <c r="B702" i="1"/>
  <c r="G702" i="1" s="1"/>
  <c r="J701" i="1"/>
  <c r="I701" i="1"/>
  <c r="C701" i="1"/>
  <c r="B701" i="1"/>
  <c r="G701" i="1" s="1"/>
  <c r="J700" i="1"/>
  <c r="I700" i="1"/>
  <c r="G700" i="1"/>
  <c r="C700" i="1"/>
  <c r="B700" i="1"/>
  <c r="J699" i="1"/>
  <c r="I699" i="1"/>
  <c r="C699" i="1"/>
  <c r="B699" i="1"/>
  <c r="G699" i="1" s="1"/>
  <c r="J698" i="1"/>
  <c r="I698" i="1"/>
  <c r="C698" i="1"/>
  <c r="B698" i="1"/>
  <c r="G698" i="1" s="1"/>
  <c r="J697" i="1"/>
  <c r="I697" i="1"/>
  <c r="C697" i="1"/>
  <c r="B697" i="1"/>
  <c r="G697" i="1" s="1"/>
  <c r="J696" i="1"/>
  <c r="I696" i="1"/>
  <c r="C696" i="1"/>
  <c r="B696" i="1"/>
  <c r="G696" i="1" s="1"/>
  <c r="J695" i="1"/>
  <c r="I695" i="1"/>
  <c r="C695" i="1"/>
  <c r="B695" i="1"/>
  <c r="G695" i="1" s="1"/>
  <c r="J694" i="1"/>
  <c r="I694" i="1"/>
  <c r="C694" i="1"/>
  <c r="B694" i="1"/>
  <c r="G694" i="1" s="1"/>
  <c r="J693" i="1"/>
  <c r="I693" i="1"/>
  <c r="C693" i="1"/>
  <c r="B693" i="1"/>
  <c r="G693" i="1" s="1"/>
  <c r="J692" i="1"/>
  <c r="I692" i="1"/>
  <c r="G692" i="1"/>
  <c r="C692" i="1"/>
  <c r="B692" i="1"/>
  <c r="J691" i="1"/>
  <c r="I691" i="1"/>
  <c r="C691" i="1"/>
  <c r="H691" i="1" s="1"/>
  <c r="B691" i="1"/>
  <c r="G691" i="1" s="1"/>
  <c r="J690" i="1"/>
  <c r="I690" i="1"/>
  <c r="G690" i="1"/>
  <c r="C690" i="1"/>
  <c r="B690" i="1"/>
  <c r="J689" i="1"/>
  <c r="I689" i="1"/>
  <c r="C689" i="1"/>
  <c r="B689" i="1"/>
  <c r="G689" i="1" s="1"/>
  <c r="J688" i="1"/>
  <c r="I688" i="1"/>
  <c r="C688" i="1"/>
  <c r="B688" i="1"/>
  <c r="G688" i="1" s="1"/>
  <c r="J687" i="1"/>
  <c r="I687" i="1"/>
  <c r="C687" i="1"/>
  <c r="B687" i="1"/>
  <c r="G687" i="1" s="1"/>
  <c r="J686" i="1"/>
  <c r="I686" i="1"/>
  <c r="C686" i="1"/>
  <c r="B686" i="1"/>
  <c r="G686" i="1" s="1"/>
  <c r="J685" i="1"/>
  <c r="I685" i="1"/>
  <c r="C685" i="1"/>
  <c r="B685" i="1"/>
  <c r="G685" i="1" s="1"/>
  <c r="J684" i="1"/>
  <c r="I684" i="1"/>
  <c r="G684" i="1"/>
  <c r="C684" i="1"/>
  <c r="B684" i="1"/>
  <c r="J683" i="1"/>
  <c r="I683" i="1"/>
  <c r="C683" i="1"/>
  <c r="H683" i="1" s="1"/>
  <c r="B683" i="1"/>
  <c r="G683" i="1" s="1"/>
  <c r="J682" i="1"/>
  <c r="I682" i="1"/>
  <c r="C682" i="1"/>
  <c r="B682" i="1"/>
  <c r="G682" i="1" s="1"/>
  <c r="J681" i="1"/>
  <c r="I681" i="1"/>
  <c r="C681" i="1"/>
  <c r="B681" i="1"/>
  <c r="G681" i="1" s="1"/>
  <c r="J680" i="1"/>
  <c r="I680" i="1"/>
  <c r="C680" i="1"/>
  <c r="H680" i="1" s="1"/>
  <c r="B680" i="1"/>
  <c r="G680" i="1" s="1"/>
  <c r="J679" i="1"/>
  <c r="I679" i="1"/>
  <c r="C679" i="1"/>
  <c r="B679" i="1"/>
  <c r="G679" i="1" s="1"/>
  <c r="J678" i="1"/>
  <c r="I678" i="1"/>
  <c r="C678" i="1"/>
  <c r="B678" i="1"/>
  <c r="G678" i="1" s="1"/>
  <c r="J677" i="1"/>
  <c r="I677" i="1"/>
  <c r="C677" i="1"/>
  <c r="B677" i="1"/>
  <c r="G677" i="1" s="1"/>
  <c r="J676" i="1"/>
  <c r="I676" i="1"/>
  <c r="G676" i="1"/>
  <c r="C676" i="1"/>
  <c r="B676" i="1"/>
  <c r="J675" i="1"/>
  <c r="I675" i="1"/>
  <c r="C675" i="1"/>
  <c r="H675" i="1" s="1"/>
  <c r="B675" i="1"/>
  <c r="G675" i="1" s="1"/>
  <c r="J674" i="1"/>
  <c r="I674" i="1"/>
  <c r="G674" i="1"/>
  <c r="C674" i="1"/>
  <c r="B674" i="1"/>
  <c r="J673" i="1"/>
  <c r="I673" i="1"/>
  <c r="C673" i="1"/>
  <c r="B673" i="1"/>
  <c r="G673" i="1" s="1"/>
  <c r="J672" i="1"/>
  <c r="I672" i="1"/>
  <c r="C672" i="1"/>
  <c r="H672" i="1" s="1"/>
  <c r="B672" i="1"/>
  <c r="G672" i="1" s="1"/>
  <c r="J671" i="1"/>
  <c r="I671" i="1"/>
  <c r="C671" i="1"/>
  <c r="B671" i="1"/>
  <c r="G671" i="1" s="1"/>
  <c r="J670" i="1"/>
  <c r="I670" i="1"/>
  <c r="C670" i="1"/>
  <c r="B670" i="1"/>
  <c r="G670" i="1" s="1"/>
  <c r="J669" i="1"/>
  <c r="I669" i="1"/>
  <c r="C669" i="1"/>
  <c r="B669" i="1"/>
  <c r="G669" i="1" s="1"/>
  <c r="J668" i="1"/>
  <c r="I668" i="1"/>
  <c r="G668" i="1"/>
  <c r="C668" i="1"/>
  <c r="B668" i="1"/>
  <c r="J667" i="1"/>
  <c r="I667" i="1"/>
  <c r="C667" i="1"/>
  <c r="B667" i="1"/>
  <c r="G667" i="1" s="1"/>
  <c r="J666" i="1"/>
  <c r="I666" i="1"/>
  <c r="C666" i="1"/>
  <c r="B666" i="1"/>
  <c r="G666" i="1" s="1"/>
  <c r="J665" i="1"/>
  <c r="I665" i="1"/>
  <c r="C665" i="1"/>
  <c r="B665" i="1"/>
  <c r="G665" i="1" s="1"/>
  <c r="J664" i="1"/>
  <c r="I664" i="1"/>
  <c r="C664" i="1"/>
  <c r="B664" i="1"/>
  <c r="G664" i="1" s="1"/>
  <c r="J663" i="1"/>
  <c r="I663" i="1"/>
  <c r="C663" i="1"/>
  <c r="B663" i="1"/>
  <c r="G663" i="1" s="1"/>
  <c r="J662" i="1"/>
  <c r="I662" i="1"/>
  <c r="C662" i="1"/>
  <c r="B662" i="1"/>
  <c r="G662" i="1" s="1"/>
  <c r="J661" i="1"/>
  <c r="I661" i="1"/>
  <c r="C661" i="1"/>
  <c r="B661" i="1"/>
  <c r="G661" i="1" s="1"/>
  <c r="J660" i="1"/>
  <c r="I660" i="1"/>
  <c r="G660" i="1"/>
  <c r="C660" i="1"/>
  <c r="B660" i="1"/>
  <c r="J659" i="1"/>
  <c r="I659" i="1"/>
  <c r="C659" i="1"/>
  <c r="B659" i="1"/>
  <c r="G659" i="1" s="1"/>
  <c r="J658" i="1"/>
  <c r="I658" i="1"/>
  <c r="C658" i="1"/>
  <c r="B658" i="1"/>
  <c r="G658" i="1" s="1"/>
  <c r="J657" i="1"/>
  <c r="I657" i="1"/>
  <c r="C657" i="1"/>
  <c r="B657" i="1"/>
  <c r="G657" i="1" s="1"/>
  <c r="J656" i="1"/>
  <c r="I656" i="1"/>
  <c r="C656" i="1"/>
  <c r="B656" i="1"/>
  <c r="G656" i="1" s="1"/>
  <c r="J655" i="1"/>
  <c r="I655" i="1"/>
  <c r="C655" i="1"/>
  <c r="B655" i="1"/>
  <c r="G655" i="1" s="1"/>
  <c r="J654" i="1"/>
  <c r="I654" i="1"/>
  <c r="C654" i="1"/>
  <c r="B654" i="1"/>
  <c r="G654" i="1" s="1"/>
  <c r="J653" i="1"/>
  <c r="I653" i="1"/>
  <c r="C653" i="1"/>
  <c r="B653" i="1"/>
  <c r="G653" i="1" s="1"/>
  <c r="J652" i="1"/>
  <c r="I652" i="1"/>
  <c r="G652" i="1"/>
  <c r="C652" i="1"/>
  <c r="B652" i="1"/>
  <c r="J651" i="1"/>
  <c r="I651" i="1"/>
  <c r="C651" i="1"/>
  <c r="B651" i="1"/>
  <c r="G651" i="1" s="1"/>
  <c r="J650" i="1"/>
  <c r="I650" i="1"/>
  <c r="C650" i="1"/>
  <c r="B650" i="1"/>
  <c r="G650" i="1" s="1"/>
  <c r="J649" i="1"/>
  <c r="I649" i="1"/>
  <c r="C649" i="1"/>
  <c r="B649" i="1"/>
  <c r="G649" i="1" s="1"/>
  <c r="J648" i="1"/>
  <c r="I648" i="1"/>
  <c r="C648" i="1"/>
  <c r="B648" i="1"/>
  <c r="G648" i="1" s="1"/>
  <c r="J647" i="1"/>
  <c r="I647" i="1"/>
  <c r="C647" i="1"/>
  <c r="B647" i="1"/>
  <c r="G647" i="1" s="1"/>
  <c r="J646" i="1"/>
  <c r="I646" i="1"/>
  <c r="C646" i="1"/>
  <c r="B646" i="1"/>
  <c r="G646" i="1" s="1"/>
  <c r="J645" i="1"/>
  <c r="I645" i="1"/>
  <c r="C645" i="1"/>
  <c r="B645" i="1"/>
  <c r="G645" i="1" s="1"/>
  <c r="J644" i="1"/>
  <c r="I644" i="1"/>
  <c r="G644" i="1"/>
  <c r="C644" i="1"/>
  <c r="B644" i="1"/>
  <c r="J643" i="1"/>
  <c r="I643" i="1"/>
  <c r="C643" i="1"/>
  <c r="H643" i="1" s="1"/>
  <c r="B643" i="1"/>
  <c r="G643" i="1" s="1"/>
  <c r="J642" i="1"/>
  <c r="I642" i="1"/>
  <c r="G642" i="1"/>
  <c r="C642" i="1"/>
  <c r="B642" i="1"/>
  <c r="J641" i="1"/>
  <c r="I641" i="1"/>
  <c r="C641" i="1"/>
  <c r="B641" i="1"/>
  <c r="G641" i="1" s="1"/>
  <c r="J640" i="1"/>
  <c r="I640" i="1"/>
  <c r="C640" i="1"/>
  <c r="B640" i="1"/>
  <c r="G640" i="1" s="1"/>
  <c r="J639" i="1"/>
  <c r="I639" i="1"/>
  <c r="C639" i="1"/>
  <c r="B639" i="1"/>
  <c r="G639" i="1" s="1"/>
  <c r="J638" i="1"/>
  <c r="I638" i="1"/>
  <c r="C638" i="1"/>
  <c r="B638" i="1"/>
  <c r="G638" i="1" s="1"/>
  <c r="J637" i="1"/>
  <c r="I637" i="1"/>
  <c r="C637" i="1"/>
  <c r="B637" i="1"/>
  <c r="G637" i="1" s="1"/>
  <c r="J636" i="1"/>
  <c r="I636" i="1"/>
  <c r="G636" i="1"/>
  <c r="C636" i="1"/>
  <c r="B636" i="1"/>
  <c r="J635" i="1"/>
  <c r="I635" i="1"/>
  <c r="C635" i="1"/>
  <c r="H635" i="1" s="1"/>
  <c r="B635" i="1"/>
  <c r="G635" i="1" s="1"/>
  <c r="J634" i="1"/>
  <c r="I634" i="1"/>
  <c r="C634" i="1"/>
  <c r="B634" i="1"/>
  <c r="G634" i="1" s="1"/>
  <c r="J633" i="1"/>
  <c r="I633" i="1"/>
  <c r="C633" i="1"/>
  <c r="B633" i="1"/>
  <c r="G633" i="1" s="1"/>
  <c r="J632" i="1"/>
  <c r="I632" i="1"/>
  <c r="C632" i="1"/>
  <c r="H632" i="1" s="1"/>
  <c r="B632" i="1"/>
  <c r="G632" i="1" s="1"/>
  <c r="J631" i="1"/>
  <c r="I631" i="1"/>
  <c r="C631" i="1"/>
  <c r="B631" i="1"/>
  <c r="G631" i="1" s="1"/>
  <c r="J630" i="1"/>
  <c r="I630" i="1"/>
  <c r="C630" i="1"/>
  <c r="B630" i="1"/>
  <c r="G630" i="1" s="1"/>
  <c r="J629" i="1"/>
  <c r="I629" i="1"/>
  <c r="C629" i="1"/>
  <c r="B629" i="1"/>
  <c r="G629" i="1" s="1"/>
  <c r="J628" i="1"/>
  <c r="I628" i="1"/>
  <c r="G628" i="1"/>
  <c r="C628" i="1"/>
  <c r="B628" i="1"/>
  <c r="J627" i="1"/>
  <c r="I627" i="1"/>
  <c r="C627" i="1"/>
  <c r="H627" i="1" s="1"/>
  <c r="B627" i="1"/>
  <c r="G627" i="1" s="1"/>
  <c r="J626" i="1"/>
  <c r="I626" i="1"/>
  <c r="G626" i="1"/>
  <c r="C626" i="1"/>
  <c r="B626" i="1"/>
  <c r="J625" i="1"/>
  <c r="I625" i="1"/>
  <c r="C625" i="1"/>
  <c r="B625" i="1"/>
  <c r="G625" i="1" s="1"/>
  <c r="J624" i="1"/>
  <c r="I624" i="1"/>
  <c r="C624" i="1"/>
  <c r="H624" i="1" s="1"/>
  <c r="B624" i="1"/>
  <c r="G624" i="1" s="1"/>
  <c r="J623" i="1"/>
  <c r="I623" i="1"/>
  <c r="C623" i="1"/>
  <c r="B623" i="1"/>
  <c r="G623" i="1" s="1"/>
  <c r="J622" i="1"/>
  <c r="I622" i="1"/>
  <c r="C622" i="1"/>
  <c r="B622" i="1"/>
  <c r="G622" i="1" s="1"/>
  <c r="J621" i="1"/>
  <c r="I621" i="1"/>
  <c r="C621" i="1"/>
  <c r="B621" i="1"/>
  <c r="G621" i="1" s="1"/>
  <c r="J620" i="1"/>
  <c r="I620" i="1"/>
  <c r="G620" i="1"/>
  <c r="C620" i="1"/>
  <c r="B620" i="1"/>
  <c r="J619" i="1"/>
  <c r="I619" i="1"/>
  <c r="C619" i="1"/>
  <c r="B619" i="1"/>
  <c r="G619" i="1" s="1"/>
  <c r="J618" i="1"/>
  <c r="I618" i="1"/>
  <c r="G618" i="1"/>
  <c r="C618" i="1"/>
  <c r="B618" i="1"/>
  <c r="J617" i="1"/>
  <c r="I617" i="1"/>
  <c r="C617" i="1"/>
  <c r="B617" i="1"/>
  <c r="G617" i="1" s="1"/>
  <c r="J616" i="1"/>
  <c r="I616" i="1"/>
  <c r="C616" i="1"/>
  <c r="B616" i="1"/>
  <c r="G616" i="1" s="1"/>
  <c r="J615" i="1"/>
  <c r="I615" i="1"/>
  <c r="C615" i="1"/>
  <c r="B615" i="1"/>
  <c r="G615" i="1" s="1"/>
  <c r="J614" i="1"/>
  <c r="I614" i="1"/>
  <c r="C614" i="1"/>
  <c r="B614" i="1"/>
  <c r="G614" i="1" s="1"/>
  <c r="J613" i="1"/>
  <c r="I613" i="1"/>
  <c r="C613" i="1"/>
  <c r="B613" i="1"/>
  <c r="G613" i="1" s="1"/>
  <c r="J612" i="1"/>
  <c r="I612" i="1"/>
  <c r="G612" i="1"/>
  <c r="C612" i="1"/>
  <c r="B612" i="1"/>
  <c r="J611" i="1"/>
  <c r="I611" i="1"/>
  <c r="C611" i="1"/>
  <c r="B611" i="1"/>
  <c r="G611" i="1" s="1"/>
  <c r="J610" i="1"/>
  <c r="I610" i="1"/>
  <c r="C610" i="1"/>
  <c r="B610" i="1"/>
  <c r="G610" i="1" s="1"/>
  <c r="J609" i="1"/>
  <c r="I609" i="1"/>
  <c r="C609" i="1"/>
  <c r="B609" i="1"/>
  <c r="G609" i="1" s="1"/>
  <c r="J608" i="1"/>
  <c r="I608" i="1"/>
  <c r="C608" i="1"/>
  <c r="B608" i="1"/>
  <c r="G608" i="1" s="1"/>
  <c r="J607" i="1"/>
  <c r="I607" i="1"/>
  <c r="C607" i="1"/>
  <c r="B607" i="1"/>
  <c r="G607" i="1" s="1"/>
  <c r="J606" i="1"/>
  <c r="I606" i="1"/>
  <c r="C606" i="1"/>
  <c r="B606" i="1"/>
  <c r="G606" i="1" s="1"/>
  <c r="J605" i="1"/>
  <c r="I605" i="1"/>
  <c r="C605" i="1"/>
  <c r="B605" i="1"/>
  <c r="G605" i="1" s="1"/>
  <c r="J604" i="1"/>
  <c r="I604" i="1"/>
  <c r="G604" i="1"/>
  <c r="C604" i="1"/>
  <c r="B604" i="1"/>
  <c r="J603" i="1"/>
  <c r="I603" i="1"/>
  <c r="C603" i="1"/>
  <c r="B603" i="1"/>
  <c r="G603" i="1" s="1"/>
  <c r="J602" i="1"/>
  <c r="I602" i="1"/>
  <c r="C602" i="1"/>
  <c r="B602" i="1"/>
  <c r="G602" i="1" s="1"/>
  <c r="J601" i="1"/>
  <c r="I601" i="1"/>
  <c r="C601" i="1"/>
  <c r="B601" i="1"/>
  <c r="G601" i="1" s="1"/>
  <c r="J600" i="1"/>
  <c r="I600" i="1"/>
  <c r="C600" i="1"/>
  <c r="B600" i="1"/>
  <c r="G600" i="1" s="1"/>
  <c r="J599" i="1"/>
  <c r="I599" i="1"/>
  <c r="C599" i="1"/>
  <c r="B599" i="1"/>
  <c r="G599" i="1" s="1"/>
  <c r="J598" i="1"/>
  <c r="I598" i="1"/>
  <c r="C598" i="1"/>
  <c r="B598" i="1"/>
  <c r="G598" i="1" s="1"/>
  <c r="J597" i="1"/>
  <c r="I597" i="1"/>
  <c r="C597" i="1"/>
  <c r="B597" i="1"/>
  <c r="G597" i="1" s="1"/>
  <c r="J596" i="1"/>
  <c r="I596" i="1"/>
  <c r="G596" i="1"/>
  <c r="C596" i="1"/>
  <c r="B596" i="1"/>
  <c r="J595" i="1"/>
  <c r="I595" i="1"/>
  <c r="C595" i="1"/>
  <c r="H595" i="1" s="1"/>
  <c r="B595" i="1"/>
  <c r="G595" i="1" s="1"/>
  <c r="J594" i="1"/>
  <c r="I594" i="1"/>
  <c r="G594" i="1"/>
  <c r="C594" i="1"/>
  <c r="B594" i="1"/>
  <c r="J593" i="1"/>
  <c r="I593" i="1"/>
  <c r="C593" i="1"/>
  <c r="B593" i="1"/>
  <c r="G593" i="1" s="1"/>
  <c r="J592" i="1"/>
  <c r="I592" i="1"/>
  <c r="C592" i="1"/>
  <c r="B592" i="1"/>
  <c r="G592" i="1" s="1"/>
  <c r="J591" i="1"/>
  <c r="I591" i="1"/>
  <c r="C591" i="1"/>
  <c r="B591" i="1"/>
  <c r="G591" i="1" s="1"/>
  <c r="J590" i="1"/>
  <c r="I590" i="1"/>
  <c r="C590" i="1"/>
  <c r="B590" i="1"/>
  <c r="G590" i="1" s="1"/>
  <c r="J589" i="1"/>
  <c r="I589" i="1"/>
  <c r="C589" i="1"/>
  <c r="B589" i="1"/>
  <c r="G589" i="1" s="1"/>
  <c r="J588" i="1"/>
  <c r="I588" i="1"/>
  <c r="C588" i="1"/>
  <c r="B588" i="1"/>
  <c r="G588" i="1" s="1"/>
  <c r="J587" i="1"/>
  <c r="I587" i="1"/>
  <c r="C587" i="1"/>
  <c r="B587" i="1"/>
  <c r="G587" i="1" s="1"/>
  <c r="J586" i="1"/>
  <c r="I586" i="1"/>
  <c r="C586" i="1"/>
  <c r="B586" i="1"/>
  <c r="G586" i="1" s="1"/>
  <c r="J585" i="1"/>
  <c r="I585" i="1"/>
  <c r="C585" i="1"/>
  <c r="H585" i="1" s="1"/>
  <c r="B585" i="1"/>
  <c r="G585" i="1" s="1"/>
  <c r="J584" i="1"/>
  <c r="I584" i="1"/>
  <c r="C584" i="1"/>
  <c r="B584" i="1"/>
  <c r="G584" i="1" s="1"/>
  <c r="J583" i="1"/>
  <c r="I583" i="1"/>
  <c r="C583" i="1"/>
  <c r="H583" i="1" s="1"/>
  <c r="B583" i="1"/>
  <c r="G583" i="1" s="1"/>
  <c r="J582" i="1"/>
  <c r="I582" i="1"/>
  <c r="H582" i="1"/>
  <c r="C582" i="1"/>
  <c r="B582" i="1"/>
  <c r="G582" i="1" s="1"/>
  <c r="J581" i="1"/>
  <c r="I581" i="1"/>
  <c r="G581" i="1"/>
  <c r="C581" i="1"/>
  <c r="H581" i="1" s="1"/>
  <c r="B581" i="1"/>
  <c r="J580" i="1"/>
  <c r="I580" i="1"/>
  <c r="H580" i="1"/>
  <c r="C580" i="1"/>
  <c r="B580" i="1"/>
  <c r="G580" i="1" s="1"/>
  <c r="J579" i="1"/>
  <c r="I579" i="1"/>
  <c r="C579" i="1"/>
  <c r="H579" i="1" s="1"/>
  <c r="B579" i="1"/>
  <c r="G579" i="1" s="1"/>
  <c r="J578" i="1"/>
  <c r="I578" i="1"/>
  <c r="C578" i="1"/>
  <c r="B578" i="1"/>
  <c r="G578" i="1" s="1"/>
  <c r="J577" i="1"/>
  <c r="I577" i="1"/>
  <c r="C577" i="1"/>
  <c r="B577" i="1"/>
  <c r="G577" i="1" s="1"/>
  <c r="J576" i="1"/>
  <c r="I576" i="1"/>
  <c r="H576" i="1"/>
  <c r="G576" i="1"/>
  <c r="C576" i="1"/>
  <c r="B576" i="1"/>
  <c r="J575" i="1"/>
  <c r="I575" i="1"/>
  <c r="H575" i="1"/>
  <c r="C575" i="1"/>
  <c r="B575" i="1"/>
  <c r="G575" i="1" s="1"/>
  <c r="J574" i="1"/>
  <c r="I574" i="1"/>
  <c r="G574" i="1"/>
  <c r="C574" i="1"/>
  <c r="H574" i="1" s="1"/>
  <c r="B574" i="1"/>
  <c r="J573" i="1"/>
  <c r="I573" i="1"/>
  <c r="C573" i="1"/>
  <c r="B573" i="1"/>
  <c r="G573" i="1" s="1"/>
  <c r="J572" i="1"/>
  <c r="I572" i="1"/>
  <c r="G572" i="1"/>
  <c r="C572" i="1"/>
  <c r="H573" i="1" s="1"/>
  <c r="B572" i="1"/>
  <c r="J571" i="1"/>
  <c r="I571" i="1"/>
  <c r="C571" i="1"/>
  <c r="B571" i="1"/>
  <c r="G571" i="1" s="1"/>
  <c r="J570" i="1"/>
  <c r="I570" i="1"/>
  <c r="G570" i="1"/>
  <c r="C570" i="1"/>
  <c r="H571" i="1" s="1"/>
  <c r="B570" i="1"/>
  <c r="J569" i="1"/>
  <c r="I569" i="1"/>
  <c r="C569" i="1"/>
  <c r="B569" i="1"/>
  <c r="G569" i="1" s="1"/>
  <c r="J568" i="1"/>
  <c r="I568" i="1"/>
  <c r="H568" i="1"/>
  <c r="G568" i="1"/>
  <c r="C568" i="1"/>
  <c r="H569" i="1" s="1"/>
  <c r="B568" i="1"/>
  <c r="J567" i="1"/>
  <c r="I567" i="1"/>
  <c r="C567" i="1"/>
  <c r="B567" i="1"/>
  <c r="G567" i="1" s="1"/>
  <c r="J566" i="1"/>
  <c r="I566" i="1"/>
  <c r="G566" i="1"/>
  <c r="C566" i="1"/>
  <c r="H566" i="1" s="1"/>
  <c r="B566" i="1"/>
  <c r="J565" i="1"/>
  <c r="I565" i="1"/>
  <c r="C565" i="1"/>
  <c r="B565" i="1"/>
  <c r="G565" i="1" s="1"/>
  <c r="J564" i="1"/>
  <c r="I564" i="1"/>
  <c r="C564" i="1"/>
  <c r="H565" i="1" s="1"/>
  <c r="B564" i="1"/>
  <c r="G564" i="1" s="1"/>
  <c r="J563" i="1"/>
  <c r="I563" i="1"/>
  <c r="C563" i="1"/>
  <c r="B563" i="1"/>
  <c r="G563" i="1" s="1"/>
  <c r="J562" i="1"/>
  <c r="I562" i="1"/>
  <c r="G562" i="1"/>
  <c r="C562" i="1"/>
  <c r="B562" i="1"/>
  <c r="J561" i="1"/>
  <c r="I561" i="1"/>
  <c r="C561" i="1"/>
  <c r="H562" i="1" s="1"/>
  <c r="B561" i="1"/>
  <c r="G561" i="1" s="1"/>
  <c r="J560" i="1"/>
  <c r="I560" i="1"/>
  <c r="G560" i="1"/>
  <c r="C560" i="1"/>
  <c r="B560" i="1"/>
  <c r="J559" i="1"/>
  <c r="I559" i="1"/>
  <c r="C559" i="1"/>
  <c r="B559" i="1"/>
  <c r="G559" i="1" s="1"/>
  <c r="J558" i="1"/>
  <c r="I558" i="1"/>
  <c r="C558" i="1"/>
  <c r="B558" i="1"/>
  <c r="G558" i="1" s="1"/>
  <c r="J557" i="1"/>
  <c r="I557" i="1"/>
  <c r="C557" i="1"/>
  <c r="B557" i="1"/>
  <c r="G557" i="1" s="1"/>
  <c r="J556" i="1"/>
  <c r="I556" i="1"/>
  <c r="G556" i="1"/>
  <c r="C556" i="1"/>
  <c r="H556" i="1" s="1"/>
  <c r="B556" i="1"/>
  <c r="J555" i="1"/>
  <c r="I555" i="1"/>
  <c r="C555" i="1"/>
  <c r="B555" i="1"/>
  <c r="G555" i="1" s="1"/>
  <c r="J554" i="1"/>
  <c r="I554" i="1"/>
  <c r="G554" i="1"/>
  <c r="C554" i="1"/>
  <c r="H554" i="1" s="1"/>
  <c r="B554" i="1"/>
  <c r="J553" i="1"/>
  <c r="I553" i="1"/>
  <c r="C553" i="1"/>
  <c r="H553" i="1" s="1"/>
  <c r="B553" i="1"/>
  <c r="G553" i="1" s="1"/>
  <c r="J552" i="1"/>
  <c r="I552" i="1"/>
  <c r="C552" i="1"/>
  <c r="H552" i="1" s="1"/>
  <c r="B552" i="1"/>
  <c r="G552" i="1" s="1"/>
  <c r="J551" i="1"/>
  <c r="I551" i="1"/>
  <c r="H551" i="1"/>
  <c r="C551" i="1"/>
  <c r="B551" i="1"/>
  <c r="G551" i="1" s="1"/>
  <c r="J550" i="1"/>
  <c r="I550" i="1"/>
  <c r="H550" i="1"/>
  <c r="C550" i="1"/>
  <c r="B550" i="1"/>
  <c r="G550" i="1" s="1"/>
  <c r="J549" i="1"/>
  <c r="I549" i="1"/>
  <c r="H549" i="1"/>
  <c r="C549" i="1"/>
  <c r="B549" i="1"/>
  <c r="G549" i="1" s="1"/>
  <c r="J548" i="1"/>
  <c r="I548" i="1"/>
  <c r="C548" i="1"/>
  <c r="B548" i="1"/>
  <c r="G548" i="1" s="1"/>
  <c r="J547" i="1"/>
  <c r="I547" i="1"/>
  <c r="C547" i="1"/>
  <c r="H548" i="1" s="1"/>
  <c r="B547" i="1"/>
  <c r="G547" i="1" s="1"/>
  <c r="J546" i="1"/>
  <c r="I546" i="1"/>
  <c r="C546" i="1"/>
  <c r="B546" i="1"/>
  <c r="G546" i="1" s="1"/>
  <c r="J545" i="1"/>
  <c r="I545" i="1"/>
  <c r="C545" i="1"/>
  <c r="B545" i="1"/>
  <c r="G545" i="1" s="1"/>
  <c r="J544" i="1"/>
  <c r="I544" i="1"/>
  <c r="G544" i="1"/>
  <c r="C544" i="1"/>
  <c r="B544" i="1"/>
  <c r="J543" i="1"/>
  <c r="I543" i="1"/>
  <c r="C543" i="1"/>
  <c r="H544" i="1" s="1"/>
  <c r="B543" i="1"/>
  <c r="G543" i="1" s="1"/>
  <c r="J542" i="1"/>
  <c r="I542" i="1"/>
  <c r="C542" i="1"/>
  <c r="B542" i="1"/>
  <c r="G542" i="1" s="1"/>
  <c r="J541" i="1"/>
  <c r="I541" i="1"/>
  <c r="C541" i="1"/>
  <c r="B541" i="1"/>
  <c r="G541" i="1" s="1"/>
  <c r="J540" i="1"/>
  <c r="I540" i="1"/>
  <c r="C540" i="1"/>
  <c r="B540" i="1"/>
  <c r="G540" i="1" s="1"/>
  <c r="J539" i="1"/>
  <c r="I539" i="1"/>
  <c r="C539" i="1"/>
  <c r="B539" i="1"/>
  <c r="G539" i="1" s="1"/>
  <c r="J538" i="1"/>
  <c r="I538" i="1"/>
  <c r="C538" i="1"/>
  <c r="B538" i="1"/>
  <c r="G538" i="1" s="1"/>
  <c r="J537" i="1"/>
  <c r="I537" i="1"/>
  <c r="C537" i="1"/>
  <c r="H538" i="1" s="1"/>
  <c r="B537" i="1"/>
  <c r="G537" i="1" s="1"/>
  <c r="J536" i="1"/>
  <c r="I536" i="1"/>
  <c r="C536" i="1"/>
  <c r="B536" i="1"/>
  <c r="G536" i="1" s="1"/>
  <c r="J535" i="1"/>
  <c r="I535" i="1"/>
  <c r="C535" i="1"/>
  <c r="B535" i="1"/>
  <c r="G535" i="1" s="1"/>
  <c r="J534" i="1"/>
  <c r="I534" i="1"/>
  <c r="G534" i="1"/>
  <c r="C534" i="1"/>
  <c r="B534" i="1"/>
  <c r="J533" i="1"/>
  <c r="I533" i="1"/>
  <c r="C533" i="1"/>
  <c r="B533" i="1"/>
  <c r="G533" i="1" s="1"/>
  <c r="J532" i="1"/>
  <c r="I532" i="1"/>
  <c r="C532" i="1"/>
  <c r="H532" i="1" s="1"/>
  <c r="B532" i="1"/>
  <c r="G532" i="1" s="1"/>
  <c r="J531" i="1"/>
  <c r="I531" i="1"/>
  <c r="C531" i="1"/>
  <c r="B531" i="1"/>
  <c r="G531" i="1" s="1"/>
  <c r="J530" i="1"/>
  <c r="I530" i="1"/>
  <c r="C530" i="1"/>
  <c r="B530" i="1"/>
  <c r="G530" i="1" s="1"/>
  <c r="J529" i="1"/>
  <c r="I529" i="1"/>
  <c r="C529" i="1"/>
  <c r="H529" i="1" s="1"/>
  <c r="B529" i="1"/>
  <c r="G529" i="1" s="1"/>
  <c r="J528" i="1"/>
  <c r="I528" i="1"/>
  <c r="G528" i="1"/>
  <c r="C528" i="1"/>
  <c r="B528" i="1"/>
  <c r="J527" i="1"/>
  <c r="I527" i="1"/>
  <c r="C527" i="1"/>
  <c r="H527" i="1" s="1"/>
  <c r="B527" i="1"/>
  <c r="G527" i="1" s="1"/>
  <c r="J526" i="1"/>
  <c r="I526" i="1"/>
  <c r="C526" i="1"/>
  <c r="H526" i="1" s="1"/>
  <c r="B526" i="1"/>
  <c r="G526" i="1" s="1"/>
  <c r="J525" i="1"/>
  <c r="I525" i="1"/>
  <c r="C525" i="1"/>
  <c r="H525" i="1" s="1"/>
  <c r="B525" i="1"/>
  <c r="G525" i="1" s="1"/>
  <c r="J524" i="1"/>
  <c r="I524" i="1"/>
  <c r="H524" i="1"/>
  <c r="C524" i="1"/>
  <c r="B524" i="1"/>
  <c r="G524" i="1" s="1"/>
  <c r="J523" i="1"/>
  <c r="I523" i="1"/>
  <c r="C523" i="1"/>
  <c r="B523" i="1"/>
  <c r="G523" i="1" s="1"/>
  <c r="J522" i="1"/>
  <c r="I522" i="1"/>
  <c r="C522" i="1"/>
  <c r="H523" i="1" s="1"/>
  <c r="B522" i="1"/>
  <c r="G522" i="1" s="1"/>
  <c r="J521" i="1"/>
  <c r="I521" i="1"/>
  <c r="C521" i="1"/>
  <c r="B521" i="1"/>
  <c r="G521" i="1" s="1"/>
  <c r="J520" i="1"/>
  <c r="I520" i="1"/>
  <c r="C520" i="1"/>
  <c r="H521" i="1" s="1"/>
  <c r="B520" i="1"/>
  <c r="G520" i="1" s="1"/>
  <c r="J519" i="1"/>
  <c r="I519" i="1"/>
  <c r="C519" i="1"/>
  <c r="H519" i="1" s="1"/>
  <c r="B519" i="1"/>
  <c r="G519" i="1" s="1"/>
  <c r="J518" i="1"/>
  <c r="I518" i="1"/>
  <c r="G518" i="1"/>
  <c r="C518" i="1"/>
  <c r="H518" i="1" s="1"/>
  <c r="B518" i="1"/>
  <c r="J517" i="1"/>
  <c r="I517" i="1"/>
  <c r="C517" i="1"/>
  <c r="B517" i="1"/>
  <c r="G517" i="1" s="1"/>
  <c r="J516" i="1"/>
  <c r="I516" i="1"/>
  <c r="C516" i="1"/>
  <c r="B516" i="1"/>
  <c r="G516" i="1" s="1"/>
  <c r="J515" i="1"/>
  <c r="I515" i="1"/>
  <c r="C515" i="1"/>
  <c r="B515" i="1"/>
  <c r="G515" i="1" s="1"/>
  <c r="J514" i="1"/>
  <c r="I514" i="1"/>
  <c r="C514" i="1"/>
  <c r="B514" i="1"/>
  <c r="G514" i="1" s="1"/>
  <c r="J513" i="1"/>
  <c r="I513" i="1"/>
  <c r="H513" i="1"/>
  <c r="C513" i="1"/>
  <c r="B513" i="1"/>
  <c r="G513" i="1" s="1"/>
  <c r="J512" i="1"/>
  <c r="I512" i="1"/>
  <c r="C512" i="1"/>
  <c r="H512" i="1" s="1"/>
  <c r="B512" i="1"/>
  <c r="G512" i="1" s="1"/>
  <c r="J511" i="1"/>
  <c r="I511" i="1"/>
  <c r="C511" i="1"/>
  <c r="B511" i="1"/>
  <c r="G511" i="1" s="1"/>
  <c r="J510" i="1"/>
  <c r="I510" i="1"/>
  <c r="H510" i="1"/>
  <c r="C510" i="1"/>
  <c r="H511" i="1" s="1"/>
  <c r="B510" i="1"/>
  <c r="G510" i="1" s="1"/>
  <c r="J509" i="1"/>
  <c r="I509" i="1"/>
  <c r="C509" i="1"/>
  <c r="B509" i="1"/>
  <c r="G509" i="1" s="1"/>
  <c r="J508" i="1"/>
  <c r="I508" i="1"/>
  <c r="C508" i="1"/>
  <c r="H509" i="1" s="1"/>
  <c r="B508" i="1"/>
  <c r="G508" i="1" s="1"/>
  <c r="J507" i="1"/>
  <c r="I507" i="1"/>
  <c r="C507" i="1"/>
  <c r="H507" i="1" s="1"/>
  <c r="B507" i="1"/>
  <c r="G507" i="1" s="1"/>
  <c r="J506" i="1"/>
  <c r="I506" i="1"/>
  <c r="C506" i="1"/>
  <c r="B506" i="1"/>
  <c r="G506" i="1" s="1"/>
  <c r="J505" i="1"/>
  <c r="I505" i="1"/>
  <c r="C505" i="1"/>
  <c r="B505" i="1"/>
  <c r="G505" i="1" s="1"/>
  <c r="J504" i="1"/>
  <c r="I504" i="1"/>
  <c r="C504" i="1"/>
  <c r="B504" i="1"/>
  <c r="G504" i="1" s="1"/>
  <c r="J503" i="1"/>
  <c r="I503" i="1"/>
  <c r="C503" i="1"/>
  <c r="B503" i="1"/>
  <c r="G503" i="1" s="1"/>
  <c r="J502" i="1"/>
  <c r="I502" i="1"/>
  <c r="C502" i="1"/>
  <c r="H503" i="1" s="1"/>
  <c r="B502" i="1"/>
  <c r="G502" i="1" s="1"/>
  <c r="J501" i="1"/>
  <c r="I501" i="1"/>
  <c r="C501" i="1"/>
  <c r="B501" i="1"/>
  <c r="G501" i="1" s="1"/>
  <c r="J500" i="1"/>
  <c r="I500" i="1"/>
  <c r="C500" i="1"/>
  <c r="H500" i="1" s="1"/>
  <c r="B500" i="1"/>
  <c r="G500" i="1" s="1"/>
  <c r="J499" i="1"/>
  <c r="I499" i="1"/>
  <c r="C499" i="1"/>
  <c r="B499" i="1"/>
  <c r="G499" i="1" s="1"/>
  <c r="J498" i="1"/>
  <c r="I498" i="1"/>
  <c r="C498" i="1"/>
  <c r="B498" i="1"/>
  <c r="G498" i="1" s="1"/>
  <c r="J497" i="1"/>
  <c r="I497" i="1"/>
  <c r="C497" i="1"/>
  <c r="B497" i="1"/>
  <c r="G497" i="1" s="1"/>
  <c r="J496" i="1"/>
  <c r="I496" i="1"/>
  <c r="C496" i="1"/>
  <c r="B496" i="1"/>
  <c r="G496" i="1" s="1"/>
  <c r="J495" i="1"/>
  <c r="I495" i="1"/>
  <c r="C495" i="1"/>
  <c r="B495" i="1"/>
  <c r="G495" i="1" s="1"/>
  <c r="J494" i="1"/>
  <c r="I494" i="1"/>
  <c r="C494" i="1"/>
  <c r="H494" i="1" s="1"/>
  <c r="B494" i="1"/>
  <c r="G494" i="1" s="1"/>
  <c r="J493" i="1"/>
  <c r="I493" i="1"/>
  <c r="C493" i="1"/>
  <c r="B493" i="1"/>
  <c r="G493" i="1" s="1"/>
  <c r="J492" i="1"/>
  <c r="I492" i="1"/>
  <c r="C492" i="1"/>
  <c r="H493" i="1" s="1"/>
  <c r="B492" i="1"/>
  <c r="G492" i="1" s="1"/>
  <c r="J491" i="1"/>
  <c r="I491" i="1"/>
  <c r="C491" i="1"/>
  <c r="B491" i="1"/>
  <c r="G491" i="1" s="1"/>
  <c r="J490" i="1"/>
  <c r="I490" i="1"/>
  <c r="C490" i="1"/>
  <c r="H491" i="1" s="1"/>
  <c r="B490" i="1"/>
  <c r="G490" i="1" s="1"/>
  <c r="J489" i="1"/>
  <c r="I489" i="1"/>
  <c r="C489" i="1"/>
  <c r="B489" i="1"/>
  <c r="G489" i="1" s="1"/>
  <c r="J488" i="1"/>
  <c r="I488" i="1"/>
  <c r="G488" i="1"/>
  <c r="C488" i="1"/>
  <c r="B488" i="1"/>
  <c r="J487" i="1"/>
  <c r="I487" i="1"/>
  <c r="C487" i="1"/>
  <c r="B487" i="1"/>
  <c r="G487" i="1" s="1"/>
  <c r="J486" i="1"/>
  <c r="I486" i="1"/>
  <c r="C486" i="1"/>
  <c r="B486" i="1"/>
  <c r="G486" i="1" s="1"/>
  <c r="J485" i="1"/>
  <c r="I485" i="1"/>
  <c r="C485" i="1"/>
  <c r="B485" i="1"/>
  <c r="G485" i="1" s="1"/>
  <c r="J484" i="1"/>
  <c r="I484" i="1"/>
  <c r="C484" i="1"/>
  <c r="H485" i="1" s="1"/>
  <c r="B484" i="1"/>
  <c r="G484" i="1" s="1"/>
  <c r="J483" i="1"/>
  <c r="I483" i="1"/>
  <c r="C483" i="1"/>
  <c r="B483" i="1"/>
  <c r="G483" i="1" s="1"/>
  <c r="J482" i="1"/>
  <c r="I482" i="1"/>
  <c r="C482" i="1"/>
  <c r="H483" i="1" s="1"/>
  <c r="B482" i="1"/>
  <c r="G482" i="1" s="1"/>
  <c r="J481" i="1"/>
  <c r="I481" i="1"/>
  <c r="C481" i="1"/>
  <c r="H481" i="1" s="1"/>
  <c r="B481" i="1"/>
  <c r="G481" i="1" s="1"/>
  <c r="J480" i="1"/>
  <c r="I480" i="1"/>
  <c r="C480" i="1"/>
  <c r="B480" i="1"/>
  <c r="G480" i="1" s="1"/>
  <c r="J479" i="1"/>
  <c r="I479" i="1"/>
  <c r="C479" i="1"/>
  <c r="H479" i="1" s="1"/>
  <c r="B479" i="1"/>
  <c r="G479" i="1" s="1"/>
  <c r="J478" i="1"/>
  <c r="I478" i="1"/>
  <c r="C478" i="1"/>
  <c r="B478" i="1"/>
  <c r="G478" i="1" s="1"/>
  <c r="J477" i="1"/>
  <c r="I477" i="1"/>
  <c r="C477" i="1"/>
  <c r="B477" i="1"/>
  <c r="G477" i="1" s="1"/>
  <c r="J476" i="1"/>
  <c r="I476" i="1"/>
  <c r="C476" i="1"/>
  <c r="H477" i="1" s="1"/>
  <c r="B476" i="1"/>
  <c r="G476" i="1" s="1"/>
  <c r="J475" i="1"/>
  <c r="I475" i="1"/>
  <c r="C475" i="1"/>
  <c r="B475" i="1"/>
  <c r="G475" i="1" s="1"/>
  <c r="J474" i="1"/>
  <c r="I474" i="1"/>
  <c r="C474" i="1"/>
  <c r="B474" i="1"/>
  <c r="G474" i="1" s="1"/>
  <c r="J473" i="1"/>
  <c r="I473" i="1"/>
  <c r="C473" i="1"/>
  <c r="B473" i="1"/>
  <c r="G473" i="1" s="1"/>
  <c r="J472" i="1"/>
  <c r="I472" i="1"/>
  <c r="C472" i="1"/>
  <c r="H472" i="1" s="1"/>
  <c r="B472" i="1"/>
  <c r="G472" i="1" s="1"/>
  <c r="J471" i="1"/>
  <c r="I471" i="1"/>
  <c r="C471" i="1"/>
  <c r="H471" i="1" s="1"/>
  <c r="B471" i="1"/>
  <c r="G471" i="1" s="1"/>
  <c r="J470" i="1"/>
  <c r="I470" i="1"/>
  <c r="C470" i="1"/>
  <c r="B470" i="1"/>
  <c r="G470" i="1" s="1"/>
  <c r="J469" i="1"/>
  <c r="I469" i="1"/>
  <c r="C469" i="1"/>
  <c r="H469" i="1" s="1"/>
  <c r="B469" i="1"/>
  <c r="G469" i="1" s="1"/>
  <c r="J468" i="1"/>
  <c r="I468" i="1"/>
  <c r="C468" i="1"/>
  <c r="H468" i="1" s="1"/>
  <c r="B468" i="1"/>
  <c r="G468" i="1" s="1"/>
  <c r="J467" i="1"/>
  <c r="I467" i="1"/>
  <c r="C467" i="1"/>
  <c r="B467" i="1"/>
  <c r="G467" i="1" s="1"/>
  <c r="J466" i="1"/>
  <c r="I466" i="1"/>
  <c r="C466" i="1"/>
  <c r="H466" i="1" s="1"/>
  <c r="B466" i="1"/>
  <c r="G466" i="1" s="1"/>
  <c r="J465" i="1"/>
  <c r="I465" i="1"/>
  <c r="C465" i="1"/>
  <c r="B465" i="1"/>
  <c r="G465" i="1" s="1"/>
  <c r="J464" i="1"/>
  <c r="I464" i="1"/>
  <c r="C464" i="1"/>
  <c r="H465" i="1" s="1"/>
  <c r="B464" i="1"/>
  <c r="G464" i="1" s="1"/>
  <c r="J463" i="1"/>
  <c r="I463" i="1"/>
  <c r="C463" i="1"/>
  <c r="H463" i="1" s="1"/>
  <c r="B463" i="1"/>
  <c r="G463" i="1" s="1"/>
  <c r="J462" i="1"/>
  <c r="I462" i="1"/>
  <c r="C462" i="1"/>
  <c r="B462" i="1"/>
  <c r="G462" i="1" s="1"/>
  <c r="J461" i="1"/>
  <c r="I461" i="1"/>
  <c r="C461" i="1"/>
  <c r="H461" i="1" s="1"/>
  <c r="B461" i="1"/>
  <c r="G461" i="1" s="1"/>
  <c r="J460" i="1"/>
  <c r="I460" i="1"/>
  <c r="C460" i="1"/>
  <c r="B460" i="1"/>
  <c r="G460" i="1" s="1"/>
  <c r="J459" i="1"/>
  <c r="I459" i="1"/>
  <c r="C459" i="1"/>
  <c r="H459" i="1" s="1"/>
  <c r="B459" i="1"/>
  <c r="G459" i="1" s="1"/>
  <c r="J458" i="1"/>
  <c r="I458" i="1"/>
  <c r="G458" i="1"/>
  <c r="C458" i="1"/>
  <c r="H458" i="1" s="1"/>
  <c r="B458" i="1"/>
  <c r="J457" i="1"/>
  <c r="I457" i="1"/>
  <c r="C457" i="1"/>
  <c r="B457" i="1"/>
  <c r="G457" i="1" s="1"/>
  <c r="J456" i="1"/>
  <c r="I456" i="1"/>
  <c r="C456" i="1"/>
  <c r="B456" i="1"/>
  <c r="G456" i="1" s="1"/>
  <c r="J455" i="1"/>
  <c r="I455" i="1"/>
  <c r="C455" i="1"/>
  <c r="H455" i="1" s="1"/>
  <c r="B455" i="1"/>
  <c r="G455" i="1" s="1"/>
  <c r="J454" i="1"/>
  <c r="I454" i="1"/>
  <c r="C454" i="1"/>
  <c r="B454" i="1"/>
  <c r="G454" i="1" s="1"/>
  <c r="J453" i="1"/>
  <c r="I453" i="1"/>
  <c r="C453" i="1"/>
  <c r="H454" i="1" s="1"/>
  <c r="B453" i="1"/>
  <c r="G453" i="1" s="1"/>
  <c r="J452" i="1"/>
  <c r="I452" i="1"/>
  <c r="C452" i="1"/>
  <c r="B452" i="1"/>
  <c r="G452" i="1" s="1"/>
  <c r="J451" i="1"/>
  <c r="I451" i="1"/>
  <c r="C451" i="1"/>
  <c r="H452" i="1" s="1"/>
  <c r="B451" i="1"/>
  <c r="G451" i="1" s="1"/>
  <c r="J450" i="1"/>
  <c r="I450" i="1"/>
  <c r="G450" i="1"/>
  <c r="C450" i="1"/>
  <c r="H450" i="1" s="1"/>
  <c r="B450" i="1"/>
  <c r="J449" i="1"/>
  <c r="I449" i="1"/>
  <c r="C449" i="1"/>
  <c r="B449" i="1"/>
  <c r="G449" i="1" s="1"/>
  <c r="J448" i="1"/>
  <c r="I448" i="1"/>
  <c r="C448" i="1"/>
  <c r="H448" i="1" s="1"/>
  <c r="B448" i="1"/>
  <c r="G448" i="1" s="1"/>
  <c r="J447" i="1"/>
  <c r="I447" i="1"/>
  <c r="H447" i="1"/>
  <c r="C447" i="1"/>
  <c r="B447" i="1"/>
  <c r="G447" i="1" s="1"/>
  <c r="J446" i="1"/>
  <c r="I446" i="1"/>
  <c r="C446" i="1"/>
  <c r="B446" i="1"/>
  <c r="G446" i="1" s="1"/>
  <c r="J445" i="1"/>
  <c r="I445" i="1"/>
  <c r="C445" i="1"/>
  <c r="B445" i="1"/>
  <c r="G445" i="1" s="1"/>
  <c r="J444" i="1"/>
  <c r="I444" i="1"/>
  <c r="C444" i="1"/>
  <c r="B444" i="1"/>
  <c r="G444" i="1" s="1"/>
  <c r="J443" i="1"/>
  <c r="I443" i="1"/>
  <c r="C443" i="1"/>
  <c r="B443" i="1"/>
  <c r="G443" i="1" s="1"/>
  <c r="J442" i="1"/>
  <c r="I442" i="1"/>
  <c r="G442" i="1"/>
  <c r="C442" i="1"/>
  <c r="H442" i="1" s="1"/>
  <c r="B442" i="1"/>
  <c r="J441" i="1"/>
  <c r="I441" i="1"/>
  <c r="C441" i="1"/>
  <c r="B441" i="1"/>
  <c r="G441" i="1" s="1"/>
  <c r="J440" i="1"/>
  <c r="I440" i="1"/>
  <c r="C440" i="1"/>
  <c r="H440" i="1" s="1"/>
  <c r="B440" i="1"/>
  <c r="G440" i="1" s="1"/>
  <c r="J439" i="1"/>
  <c r="I439" i="1"/>
  <c r="H439" i="1"/>
  <c r="C439" i="1"/>
  <c r="B439" i="1"/>
  <c r="G439" i="1" s="1"/>
  <c r="J438" i="1"/>
  <c r="I438" i="1"/>
  <c r="C438" i="1"/>
  <c r="B438" i="1"/>
  <c r="G438" i="1" s="1"/>
  <c r="J437" i="1"/>
  <c r="I437" i="1"/>
  <c r="C437" i="1"/>
  <c r="H438" i="1" s="1"/>
  <c r="B437" i="1"/>
  <c r="G437" i="1" s="1"/>
  <c r="J436" i="1"/>
  <c r="I436" i="1"/>
  <c r="C436" i="1"/>
  <c r="B436" i="1"/>
  <c r="G436" i="1" s="1"/>
  <c r="J435" i="1"/>
  <c r="I435" i="1"/>
  <c r="C435" i="1"/>
  <c r="B435" i="1"/>
  <c r="G435" i="1" s="1"/>
  <c r="J434" i="1"/>
  <c r="I434" i="1"/>
  <c r="C434" i="1"/>
  <c r="H434" i="1" s="1"/>
  <c r="B434" i="1"/>
  <c r="G434" i="1" s="1"/>
  <c r="J433" i="1"/>
  <c r="I433" i="1"/>
  <c r="C433" i="1"/>
  <c r="B433" i="1"/>
  <c r="G433" i="1" s="1"/>
  <c r="J432" i="1"/>
  <c r="I432" i="1"/>
  <c r="H432" i="1"/>
  <c r="C432" i="1"/>
  <c r="H433" i="1" s="1"/>
  <c r="B432" i="1"/>
  <c r="G432" i="1" s="1"/>
  <c r="J431" i="1"/>
  <c r="I431" i="1"/>
  <c r="C431" i="1"/>
  <c r="H431" i="1" s="1"/>
  <c r="B431" i="1"/>
  <c r="G431" i="1" s="1"/>
  <c r="J430" i="1"/>
  <c r="I430" i="1"/>
  <c r="C430" i="1"/>
  <c r="B430" i="1"/>
  <c r="G430" i="1" s="1"/>
  <c r="J429" i="1"/>
  <c r="I429" i="1"/>
  <c r="C429" i="1"/>
  <c r="H429" i="1" s="1"/>
  <c r="B429" i="1"/>
  <c r="G429" i="1" s="1"/>
  <c r="J428" i="1"/>
  <c r="I428" i="1"/>
  <c r="G428" i="1"/>
  <c r="C428" i="1"/>
  <c r="B428" i="1"/>
  <c r="J427" i="1"/>
  <c r="I427" i="1"/>
  <c r="C427" i="1"/>
  <c r="H428" i="1" s="1"/>
  <c r="B427" i="1"/>
  <c r="G427" i="1" s="1"/>
  <c r="J426" i="1"/>
  <c r="I426" i="1"/>
  <c r="C426" i="1"/>
  <c r="H426" i="1" s="1"/>
  <c r="B426" i="1"/>
  <c r="G426" i="1" s="1"/>
  <c r="J425" i="1"/>
  <c r="I425" i="1"/>
  <c r="C425" i="1"/>
  <c r="B425" i="1"/>
  <c r="G425" i="1" s="1"/>
  <c r="J424" i="1"/>
  <c r="I424" i="1"/>
  <c r="C424" i="1"/>
  <c r="H425" i="1" s="1"/>
  <c r="B424" i="1"/>
  <c r="G424" i="1" s="1"/>
  <c r="J423" i="1"/>
  <c r="I423" i="1"/>
  <c r="C423" i="1"/>
  <c r="B423" i="1"/>
  <c r="G423" i="1" s="1"/>
  <c r="J422" i="1"/>
  <c r="I422" i="1"/>
  <c r="C422" i="1"/>
  <c r="B422" i="1"/>
  <c r="G422" i="1" s="1"/>
  <c r="J421" i="1"/>
  <c r="I421" i="1"/>
  <c r="C421" i="1"/>
  <c r="B421" i="1"/>
  <c r="G421" i="1" s="1"/>
  <c r="J420" i="1"/>
  <c r="I420" i="1"/>
  <c r="G420" i="1"/>
  <c r="C420" i="1"/>
  <c r="H420" i="1" s="1"/>
  <c r="B420" i="1"/>
  <c r="J419" i="1"/>
  <c r="I419" i="1"/>
  <c r="C419" i="1"/>
  <c r="H419" i="1" s="1"/>
  <c r="B419" i="1"/>
  <c r="G419" i="1" s="1"/>
  <c r="J418" i="1"/>
  <c r="I418" i="1"/>
  <c r="C418" i="1"/>
  <c r="H418" i="1" s="1"/>
  <c r="B418" i="1"/>
  <c r="G418" i="1" s="1"/>
  <c r="J417" i="1"/>
  <c r="I417" i="1"/>
  <c r="C417" i="1"/>
  <c r="B417" i="1"/>
  <c r="G417" i="1" s="1"/>
  <c r="J416" i="1"/>
  <c r="I416" i="1"/>
  <c r="C416" i="1"/>
  <c r="B416" i="1"/>
  <c r="G416" i="1" s="1"/>
  <c r="J415" i="1"/>
  <c r="I415" i="1"/>
  <c r="C415" i="1"/>
  <c r="B415" i="1"/>
  <c r="G415" i="1" s="1"/>
  <c r="J414" i="1"/>
  <c r="I414" i="1"/>
  <c r="C414" i="1"/>
  <c r="B414" i="1"/>
  <c r="G414" i="1" s="1"/>
  <c r="J413" i="1"/>
  <c r="I413" i="1"/>
  <c r="C413" i="1"/>
  <c r="H413" i="1" s="1"/>
  <c r="B413" i="1"/>
  <c r="G413" i="1" s="1"/>
  <c r="J412" i="1"/>
  <c r="I412" i="1"/>
  <c r="C412" i="1"/>
  <c r="B412" i="1"/>
  <c r="G412" i="1" s="1"/>
  <c r="J411" i="1"/>
  <c r="I411" i="1"/>
  <c r="C411" i="1"/>
  <c r="H411" i="1" s="1"/>
  <c r="B411" i="1"/>
  <c r="G411" i="1" s="1"/>
  <c r="J410" i="1"/>
  <c r="I410" i="1"/>
  <c r="C410" i="1"/>
  <c r="H410" i="1" s="1"/>
  <c r="B410" i="1"/>
  <c r="G410" i="1" s="1"/>
  <c r="J409" i="1"/>
  <c r="I409" i="1"/>
  <c r="C409" i="1"/>
  <c r="B409" i="1"/>
  <c r="G409" i="1" s="1"/>
  <c r="J408" i="1"/>
  <c r="I408" i="1"/>
  <c r="H408" i="1"/>
  <c r="C408" i="1"/>
  <c r="H409" i="1" s="1"/>
  <c r="B408" i="1"/>
  <c r="G408" i="1" s="1"/>
  <c r="J407" i="1"/>
  <c r="I407" i="1"/>
  <c r="C407" i="1"/>
  <c r="B407" i="1"/>
  <c r="G407" i="1" s="1"/>
  <c r="J406" i="1"/>
  <c r="I406" i="1"/>
  <c r="C406" i="1"/>
  <c r="B406" i="1"/>
  <c r="G406" i="1" s="1"/>
  <c r="J405" i="1"/>
  <c r="I405" i="1"/>
  <c r="C405" i="1"/>
  <c r="B405" i="1"/>
  <c r="G405" i="1" s="1"/>
  <c r="J404" i="1"/>
  <c r="I404" i="1"/>
  <c r="G404" i="1"/>
  <c r="C404" i="1"/>
  <c r="B404" i="1"/>
  <c r="J403" i="1"/>
  <c r="I403" i="1"/>
  <c r="C403" i="1"/>
  <c r="H403" i="1" s="1"/>
  <c r="B403" i="1"/>
  <c r="G403" i="1" s="1"/>
  <c r="J402" i="1"/>
  <c r="I402" i="1"/>
  <c r="C402" i="1"/>
  <c r="B402" i="1"/>
  <c r="G402" i="1" s="1"/>
  <c r="J401" i="1"/>
  <c r="I401" i="1"/>
  <c r="H401" i="1"/>
  <c r="C401" i="1"/>
  <c r="B401" i="1"/>
  <c r="G401" i="1" s="1"/>
  <c r="J400" i="1"/>
  <c r="I400" i="1"/>
  <c r="H400" i="1"/>
  <c r="C400" i="1"/>
  <c r="B400" i="1"/>
  <c r="G400" i="1" s="1"/>
  <c r="J399" i="1"/>
  <c r="I399" i="1"/>
  <c r="C399" i="1"/>
  <c r="B399" i="1"/>
  <c r="G399" i="1" s="1"/>
  <c r="J398" i="1"/>
  <c r="I398" i="1"/>
  <c r="G398" i="1"/>
  <c r="C398" i="1"/>
  <c r="H398" i="1" s="1"/>
  <c r="B398" i="1"/>
  <c r="J397" i="1"/>
  <c r="I397" i="1"/>
  <c r="C397" i="1"/>
  <c r="B397" i="1"/>
  <c r="G397" i="1" s="1"/>
  <c r="J396" i="1"/>
  <c r="I396" i="1"/>
  <c r="C396" i="1"/>
  <c r="H397" i="1" s="1"/>
  <c r="B396" i="1"/>
  <c r="G396" i="1" s="1"/>
  <c r="J395" i="1"/>
  <c r="I395" i="1"/>
  <c r="C395" i="1"/>
  <c r="H395" i="1" s="1"/>
  <c r="B395" i="1"/>
  <c r="G395" i="1" s="1"/>
  <c r="J394" i="1"/>
  <c r="I394" i="1"/>
  <c r="C394" i="1"/>
  <c r="B394" i="1"/>
  <c r="G394" i="1" s="1"/>
  <c r="J393" i="1"/>
  <c r="I393" i="1"/>
  <c r="C393" i="1"/>
  <c r="H393" i="1" s="1"/>
  <c r="B393" i="1"/>
  <c r="G393" i="1" s="1"/>
  <c r="J392" i="1"/>
  <c r="I392" i="1"/>
  <c r="C392" i="1"/>
  <c r="B392" i="1"/>
  <c r="G392" i="1" s="1"/>
  <c r="J391" i="1"/>
  <c r="I391" i="1"/>
  <c r="C391" i="1"/>
  <c r="B391" i="1"/>
  <c r="G391" i="1" s="1"/>
  <c r="J390" i="1"/>
  <c r="I390" i="1"/>
  <c r="C390" i="1"/>
  <c r="H390" i="1" s="1"/>
  <c r="B390" i="1"/>
  <c r="G390" i="1" s="1"/>
  <c r="J389" i="1"/>
  <c r="I389" i="1"/>
  <c r="C389" i="1"/>
  <c r="B389" i="1"/>
  <c r="G389" i="1" s="1"/>
  <c r="J388" i="1"/>
  <c r="I388" i="1"/>
  <c r="C388" i="1"/>
  <c r="B388" i="1"/>
  <c r="G388" i="1" s="1"/>
  <c r="J387" i="1"/>
  <c r="I387" i="1"/>
  <c r="C387" i="1"/>
  <c r="H387" i="1" s="1"/>
  <c r="B387" i="1"/>
  <c r="G387" i="1" s="1"/>
  <c r="J386" i="1"/>
  <c r="I386" i="1"/>
  <c r="C386" i="1"/>
  <c r="B386" i="1"/>
  <c r="G386" i="1" s="1"/>
  <c r="J385" i="1"/>
  <c r="I385" i="1"/>
  <c r="C385" i="1"/>
  <c r="H385" i="1" s="1"/>
  <c r="B385" i="1"/>
  <c r="G385" i="1" s="1"/>
  <c r="J384" i="1"/>
  <c r="I384" i="1"/>
  <c r="H384" i="1"/>
  <c r="C384" i="1"/>
  <c r="B384" i="1"/>
  <c r="G384" i="1" s="1"/>
  <c r="J383" i="1"/>
  <c r="I383" i="1"/>
  <c r="C383" i="1"/>
  <c r="B383" i="1"/>
  <c r="G383" i="1" s="1"/>
  <c r="J382" i="1"/>
  <c r="I382" i="1"/>
  <c r="G382" i="1"/>
  <c r="C382" i="1"/>
  <c r="B382" i="1"/>
  <c r="J381" i="1"/>
  <c r="I381" i="1"/>
  <c r="C381" i="1"/>
  <c r="B381" i="1"/>
  <c r="G381" i="1" s="1"/>
  <c r="J380" i="1"/>
  <c r="I380" i="1"/>
  <c r="H380" i="1"/>
  <c r="C380" i="1"/>
  <c r="B380" i="1"/>
  <c r="G380" i="1" s="1"/>
  <c r="J379" i="1"/>
  <c r="I379" i="1"/>
  <c r="C379" i="1"/>
  <c r="B379" i="1"/>
  <c r="G379" i="1" s="1"/>
  <c r="J378" i="1"/>
  <c r="I378" i="1"/>
  <c r="C378" i="1"/>
  <c r="B378" i="1"/>
  <c r="G378" i="1" s="1"/>
  <c r="J377" i="1"/>
  <c r="I377" i="1"/>
  <c r="C377" i="1"/>
  <c r="B377" i="1"/>
  <c r="G377" i="1" s="1"/>
  <c r="J376" i="1"/>
  <c r="I376" i="1"/>
  <c r="C376" i="1"/>
  <c r="B376" i="1"/>
  <c r="G376" i="1" s="1"/>
  <c r="J375" i="1"/>
  <c r="I375" i="1"/>
  <c r="C375" i="1"/>
  <c r="B375" i="1"/>
  <c r="G375" i="1" s="1"/>
  <c r="J374" i="1"/>
  <c r="I374" i="1"/>
  <c r="G374" i="1"/>
  <c r="C374" i="1"/>
  <c r="H374" i="1" s="1"/>
  <c r="B374" i="1"/>
  <c r="J373" i="1"/>
  <c r="I373" i="1"/>
  <c r="C373" i="1"/>
  <c r="B373" i="1"/>
  <c r="G373" i="1" s="1"/>
  <c r="J372" i="1"/>
  <c r="I372" i="1"/>
  <c r="G372" i="1"/>
  <c r="C372" i="1"/>
  <c r="H372" i="1" s="1"/>
  <c r="B372" i="1"/>
  <c r="J371" i="1"/>
  <c r="I371" i="1"/>
  <c r="C371" i="1"/>
  <c r="H371" i="1" s="1"/>
  <c r="B371" i="1"/>
  <c r="G371" i="1" s="1"/>
  <c r="J370" i="1"/>
  <c r="I370" i="1"/>
  <c r="C370" i="1"/>
  <c r="B370" i="1"/>
  <c r="G370" i="1" s="1"/>
  <c r="J369" i="1"/>
  <c r="I369" i="1"/>
  <c r="C369" i="1"/>
  <c r="H369" i="1" s="1"/>
  <c r="B369" i="1"/>
  <c r="G369" i="1" s="1"/>
  <c r="J368" i="1"/>
  <c r="I368" i="1"/>
  <c r="C368" i="1"/>
  <c r="B368" i="1"/>
  <c r="G368" i="1" s="1"/>
  <c r="J367" i="1"/>
  <c r="I367" i="1"/>
  <c r="C367" i="1"/>
  <c r="B367" i="1"/>
  <c r="G367" i="1" s="1"/>
  <c r="J366" i="1"/>
  <c r="I366" i="1"/>
  <c r="C366" i="1"/>
  <c r="H367" i="1" s="1"/>
  <c r="B366" i="1"/>
  <c r="G366" i="1" s="1"/>
  <c r="J365" i="1"/>
  <c r="I365" i="1"/>
  <c r="C365" i="1"/>
  <c r="B365" i="1"/>
  <c r="G365" i="1" s="1"/>
  <c r="J364" i="1"/>
  <c r="I364" i="1"/>
  <c r="C364" i="1"/>
  <c r="B364" i="1"/>
  <c r="G364" i="1" s="1"/>
  <c r="J363" i="1"/>
  <c r="I363" i="1"/>
  <c r="C363" i="1"/>
  <c r="H363" i="1" s="1"/>
  <c r="B363" i="1"/>
  <c r="G363" i="1" s="1"/>
  <c r="J362" i="1"/>
  <c r="I362" i="1"/>
  <c r="C362" i="1"/>
  <c r="B362" i="1"/>
  <c r="G362" i="1" s="1"/>
  <c r="J361" i="1"/>
  <c r="I361" i="1"/>
  <c r="C361" i="1"/>
  <c r="H361" i="1" s="1"/>
  <c r="B361" i="1"/>
  <c r="G361" i="1" s="1"/>
  <c r="J360" i="1"/>
  <c r="I360" i="1"/>
  <c r="C360" i="1"/>
  <c r="B360" i="1"/>
  <c r="G360" i="1" s="1"/>
  <c r="J359" i="1"/>
  <c r="I359" i="1"/>
  <c r="C359" i="1"/>
  <c r="B359" i="1"/>
  <c r="G359" i="1" s="1"/>
  <c r="J358" i="1"/>
  <c r="I358" i="1"/>
  <c r="G358" i="1"/>
  <c r="C358" i="1"/>
  <c r="B358" i="1"/>
  <c r="J357" i="1"/>
  <c r="I357" i="1"/>
  <c r="C357" i="1"/>
  <c r="B357" i="1"/>
  <c r="G357" i="1" s="1"/>
  <c r="J356" i="1"/>
  <c r="I356" i="1"/>
  <c r="C356" i="1"/>
  <c r="H356" i="1" s="1"/>
  <c r="B356" i="1"/>
  <c r="G356" i="1" s="1"/>
  <c r="J355" i="1"/>
  <c r="I355" i="1"/>
  <c r="C355" i="1"/>
  <c r="B355" i="1"/>
  <c r="G355" i="1" s="1"/>
  <c r="J354" i="1"/>
  <c r="I354" i="1"/>
  <c r="C354" i="1"/>
  <c r="H354" i="1" s="1"/>
  <c r="B354" i="1"/>
  <c r="G354" i="1" s="1"/>
  <c r="J353" i="1"/>
  <c r="I353" i="1"/>
  <c r="C353" i="1"/>
  <c r="H353" i="1" s="1"/>
  <c r="B353" i="1"/>
  <c r="G353" i="1" s="1"/>
  <c r="J352" i="1"/>
  <c r="I352" i="1"/>
  <c r="C352" i="1"/>
  <c r="B352" i="1"/>
  <c r="G352" i="1" s="1"/>
  <c r="J351" i="1"/>
  <c r="I351" i="1"/>
  <c r="C351" i="1"/>
  <c r="B351" i="1"/>
  <c r="G351" i="1" s="1"/>
  <c r="J350" i="1"/>
  <c r="I350" i="1"/>
  <c r="G350" i="1"/>
  <c r="C350" i="1"/>
  <c r="B350" i="1"/>
  <c r="J349" i="1"/>
  <c r="I349" i="1"/>
  <c r="C349" i="1"/>
  <c r="H350" i="1" s="1"/>
  <c r="B349" i="1"/>
  <c r="G349" i="1" s="1"/>
  <c r="J348" i="1"/>
  <c r="I348" i="1"/>
  <c r="C348" i="1"/>
  <c r="B348" i="1"/>
  <c r="G348" i="1" s="1"/>
  <c r="J347" i="1"/>
  <c r="I347" i="1"/>
  <c r="C347" i="1"/>
  <c r="B347" i="1"/>
  <c r="G347" i="1" s="1"/>
  <c r="J346" i="1"/>
  <c r="I346" i="1"/>
  <c r="G346" i="1"/>
  <c r="C346" i="1"/>
  <c r="H346" i="1" s="1"/>
  <c r="B346" i="1"/>
  <c r="J345" i="1"/>
  <c r="I345" i="1"/>
  <c r="C345" i="1"/>
  <c r="H345" i="1" s="1"/>
  <c r="B345" i="1"/>
  <c r="G345" i="1" s="1"/>
  <c r="J344" i="1"/>
  <c r="I344" i="1"/>
  <c r="C344" i="1"/>
  <c r="B344" i="1"/>
  <c r="G344" i="1" s="1"/>
  <c r="J343" i="1"/>
  <c r="I343" i="1"/>
  <c r="H343" i="1"/>
  <c r="C343" i="1"/>
  <c r="B343" i="1"/>
  <c r="G343" i="1" s="1"/>
  <c r="J342" i="1"/>
  <c r="I342" i="1"/>
  <c r="C342" i="1"/>
  <c r="B342" i="1"/>
  <c r="G342" i="1" s="1"/>
  <c r="J341" i="1"/>
  <c r="I341" i="1"/>
  <c r="C341" i="1"/>
  <c r="B341" i="1"/>
  <c r="G341" i="1" s="1"/>
  <c r="J340" i="1"/>
  <c r="I340" i="1"/>
  <c r="C340" i="1"/>
  <c r="B340" i="1"/>
  <c r="G340" i="1" s="1"/>
  <c r="J339" i="1"/>
  <c r="I339" i="1"/>
  <c r="C339" i="1"/>
  <c r="B339" i="1"/>
  <c r="G339" i="1" s="1"/>
  <c r="J338" i="1"/>
  <c r="I338" i="1"/>
  <c r="C338" i="1"/>
  <c r="H338" i="1" s="1"/>
  <c r="B338" i="1"/>
  <c r="G338" i="1" s="1"/>
  <c r="J337" i="1"/>
  <c r="I337" i="1"/>
  <c r="H337" i="1"/>
  <c r="C337" i="1"/>
  <c r="B337" i="1"/>
  <c r="G337" i="1" s="1"/>
  <c r="J336" i="1"/>
  <c r="I336" i="1"/>
  <c r="C336" i="1"/>
  <c r="B336" i="1"/>
  <c r="G336" i="1" s="1"/>
  <c r="J335" i="1"/>
  <c r="I335" i="1"/>
  <c r="C335" i="1"/>
  <c r="H336" i="1" s="1"/>
  <c r="B335" i="1"/>
  <c r="G335" i="1" s="1"/>
  <c r="J334" i="1"/>
  <c r="I334" i="1"/>
  <c r="C334" i="1"/>
  <c r="B334" i="1"/>
  <c r="G334" i="1" s="1"/>
  <c r="J333" i="1"/>
  <c r="I333" i="1"/>
  <c r="C333" i="1"/>
  <c r="H333" i="1" s="1"/>
  <c r="B333" i="1"/>
  <c r="G333" i="1" s="1"/>
  <c r="J332" i="1"/>
  <c r="I332" i="1"/>
  <c r="H332" i="1"/>
  <c r="C332" i="1"/>
  <c r="B332" i="1"/>
  <c r="G332" i="1" s="1"/>
  <c r="J331" i="1"/>
  <c r="I331" i="1"/>
  <c r="C331" i="1"/>
  <c r="B331" i="1"/>
  <c r="G331" i="1" s="1"/>
  <c r="J330" i="1"/>
  <c r="I330" i="1"/>
  <c r="C330" i="1"/>
  <c r="H330" i="1" s="1"/>
  <c r="B330" i="1"/>
  <c r="G330" i="1" s="1"/>
  <c r="J329" i="1"/>
  <c r="I329" i="1"/>
  <c r="C329" i="1"/>
  <c r="B329" i="1"/>
  <c r="G329" i="1" s="1"/>
  <c r="J328" i="1"/>
  <c r="I328" i="1"/>
  <c r="C328" i="1"/>
  <c r="H329" i="1" s="1"/>
  <c r="B328" i="1"/>
  <c r="G328" i="1" s="1"/>
  <c r="J327" i="1"/>
  <c r="I327" i="1"/>
  <c r="C327" i="1"/>
  <c r="H327" i="1" s="1"/>
  <c r="B327" i="1"/>
  <c r="G327" i="1" s="1"/>
  <c r="J326" i="1"/>
  <c r="I326" i="1"/>
  <c r="C326" i="1"/>
  <c r="B326" i="1"/>
  <c r="G326" i="1" s="1"/>
  <c r="J325" i="1"/>
  <c r="I325" i="1"/>
  <c r="C325" i="1"/>
  <c r="B325" i="1"/>
  <c r="G325" i="1" s="1"/>
  <c r="J324" i="1"/>
  <c r="I324" i="1"/>
  <c r="G324" i="1"/>
  <c r="C324" i="1"/>
  <c r="H324" i="1" s="1"/>
  <c r="B324" i="1"/>
  <c r="J323" i="1"/>
  <c r="I323" i="1"/>
  <c r="C323" i="1"/>
  <c r="B323" i="1"/>
  <c r="G323" i="1" s="1"/>
  <c r="J322" i="1"/>
  <c r="I322" i="1"/>
  <c r="C322" i="1"/>
  <c r="H322" i="1" s="1"/>
  <c r="B322" i="1"/>
  <c r="G322" i="1" s="1"/>
  <c r="J321" i="1"/>
  <c r="I321" i="1"/>
  <c r="C321" i="1"/>
  <c r="H321" i="1" s="1"/>
  <c r="B321" i="1"/>
  <c r="G321" i="1" s="1"/>
  <c r="J320" i="1"/>
  <c r="I320" i="1"/>
  <c r="C320" i="1"/>
  <c r="B320" i="1"/>
  <c r="G320" i="1" s="1"/>
  <c r="J319" i="1"/>
  <c r="I319" i="1"/>
  <c r="C319" i="1"/>
  <c r="B319" i="1"/>
  <c r="G319" i="1" s="1"/>
  <c r="J318" i="1"/>
  <c r="I318" i="1"/>
  <c r="C318" i="1"/>
  <c r="B318" i="1"/>
  <c r="G318" i="1" s="1"/>
  <c r="J317" i="1"/>
  <c r="I317" i="1"/>
  <c r="C317" i="1"/>
  <c r="B317" i="1"/>
  <c r="G317" i="1" s="1"/>
  <c r="J316" i="1"/>
  <c r="I316" i="1"/>
  <c r="C316" i="1"/>
  <c r="H316" i="1" s="1"/>
  <c r="B316" i="1"/>
  <c r="G316" i="1" s="1"/>
  <c r="J315" i="1"/>
  <c r="I315" i="1"/>
  <c r="C315" i="1"/>
  <c r="B315" i="1"/>
  <c r="G315" i="1" s="1"/>
  <c r="J314" i="1"/>
  <c r="I314" i="1"/>
  <c r="C314" i="1"/>
  <c r="B314" i="1"/>
  <c r="G314" i="1" s="1"/>
  <c r="J313" i="1"/>
  <c r="I313" i="1"/>
  <c r="C313" i="1"/>
  <c r="H313" i="1" s="1"/>
  <c r="B313" i="1"/>
  <c r="G313" i="1" s="1"/>
  <c r="J312" i="1"/>
  <c r="I312" i="1"/>
  <c r="C312" i="1"/>
  <c r="B312" i="1"/>
  <c r="G312" i="1" s="1"/>
  <c r="J311" i="1"/>
  <c r="I311" i="1"/>
  <c r="C311" i="1"/>
  <c r="H311" i="1" s="1"/>
  <c r="B311" i="1"/>
  <c r="G311" i="1" s="1"/>
  <c r="J310" i="1"/>
  <c r="I310" i="1"/>
  <c r="C310" i="1"/>
  <c r="B310" i="1"/>
  <c r="G310" i="1" s="1"/>
  <c r="J309" i="1"/>
  <c r="I309" i="1"/>
  <c r="C309" i="1"/>
  <c r="H310" i="1" s="1"/>
  <c r="B309" i="1"/>
  <c r="G309" i="1" s="1"/>
  <c r="J308" i="1"/>
  <c r="I308" i="1"/>
  <c r="G308" i="1"/>
  <c r="C308" i="1"/>
  <c r="B308" i="1"/>
  <c r="J307" i="1"/>
  <c r="I307" i="1"/>
  <c r="C307" i="1"/>
  <c r="H307" i="1" s="1"/>
  <c r="B307" i="1"/>
  <c r="G307" i="1" s="1"/>
  <c r="J306" i="1"/>
  <c r="I306" i="1"/>
  <c r="C306" i="1"/>
  <c r="H306" i="1" s="1"/>
  <c r="B306" i="1"/>
  <c r="G306" i="1" s="1"/>
  <c r="J305" i="1"/>
  <c r="I305" i="1"/>
  <c r="C305" i="1"/>
  <c r="B305" i="1"/>
  <c r="G305" i="1" s="1"/>
  <c r="J304" i="1"/>
  <c r="I304" i="1"/>
  <c r="C304" i="1"/>
  <c r="B304" i="1"/>
  <c r="G304" i="1" s="1"/>
  <c r="J303" i="1"/>
  <c r="I303" i="1"/>
  <c r="G303" i="1"/>
  <c r="C303" i="1"/>
  <c r="H303" i="1" s="1"/>
  <c r="B303" i="1"/>
  <c r="J302" i="1"/>
  <c r="I302" i="1"/>
  <c r="C302" i="1"/>
  <c r="H302" i="1" s="1"/>
  <c r="B302" i="1"/>
  <c r="G302" i="1" s="1"/>
  <c r="J301" i="1"/>
  <c r="I301" i="1"/>
  <c r="C301" i="1"/>
  <c r="B301" i="1"/>
  <c r="G301" i="1" s="1"/>
  <c r="J300" i="1"/>
  <c r="I300" i="1"/>
  <c r="C300" i="1"/>
  <c r="B300" i="1"/>
  <c r="G300" i="1" s="1"/>
  <c r="J299" i="1"/>
  <c r="I299" i="1"/>
  <c r="G299" i="1"/>
  <c r="C299" i="1"/>
  <c r="H299" i="1" s="1"/>
  <c r="B299" i="1"/>
  <c r="J298" i="1"/>
  <c r="I298" i="1"/>
  <c r="C298" i="1"/>
  <c r="B298" i="1"/>
  <c r="G298" i="1" s="1"/>
  <c r="J297" i="1"/>
  <c r="I297" i="1"/>
  <c r="C297" i="1"/>
  <c r="B297" i="1"/>
  <c r="G297" i="1" s="1"/>
  <c r="J296" i="1"/>
  <c r="I296" i="1"/>
  <c r="G296" i="1"/>
  <c r="C296" i="1"/>
  <c r="B296" i="1"/>
  <c r="J295" i="1"/>
  <c r="I295" i="1"/>
  <c r="C295" i="1"/>
  <c r="B295" i="1"/>
  <c r="G295" i="1" s="1"/>
  <c r="J294" i="1"/>
  <c r="I294" i="1"/>
  <c r="C294" i="1"/>
  <c r="H294" i="1" s="1"/>
  <c r="B294" i="1"/>
  <c r="G294" i="1" s="1"/>
  <c r="J293" i="1"/>
  <c r="I293" i="1"/>
  <c r="C293" i="1"/>
  <c r="B293" i="1"/>
  <c r="G293" i="1" s="1"/>
  <c r="J292" i="1"/>
  <c r="I292" i="1"/>
  <c r="C292" i="1"/>
  <c r="B292" i="1"/>
  <c r="G292" i="1" s="1"/>
  <c r="J291" i="1"/>
  <c r="I291" i="1"/>
  <c r="G291" i="1"/>
  <c r="C291" i="1"/>
  <c r="H292" i="1" s="1"/>
  <c r="B291" i="1"/>
  <c r="J290" i="1"/>
  <c r="I290" i="1"/>
  <c r="C290" i="1"/>
  <c r="B290" i="1"/>
  <c r="G290" i="1" s="1"/>
  <c r="J289" i="1"/>
  <c r="I289" i="1"/>
  <c r="C289" i="1"/>
  <c r="H289" i="1" s="1"/>
  <c r="B289" i="1"/>
  <c r="G289" i="1" s="1"/>
  <c r="J288" i="1"/>
  <c r="I288" i="1"/>
  <c r="C288" i="1"/>
  <c r="B288" i="1"/>
  <c r="G288" i="1" s="1"/>
  <c r="J287" i="1"/>
  <c r="I287" i="1"/>
  <c r="G287" i="1"/>
  <c r="C287" i="1"/>
  <c r="H288" i="1" s="1"/>
  <c r="B287" i="1"/>
  <c r="J286" i="1"/>
  <c r="I286" i="1"/>
  <c r="C286" i="1"/>
  <c r="B286" i="1"/>
  <c r="G286" i="1" s="1"/>
  <c r="J285" i="1"/>
  <c r="I285" i="1"/>
  <c r="C285" i="1"/>
  <c r="B285" i="1"/>
  <c r="G285" i="1" s="1"/>
  <c r="J284" i="1"/>
  <c r="I284" i="1"/>
  <c r="C284" i="1"/>
  <c r="H284" i="1" s="1"/>
  <c r="B284" i="1"/>
  <c r="G284" i="1" s="1"/>
  <c r="J283" i="1"/>
  <c r="I283" i="1"/>
  <c r="C283" i="1"/>
  <c r="B283" i="1"/>
  <c r="G283" i="1" s="1"/>
  <c r="J282" i="1"/>
  <c r="I282" i="1"/>
  <c r="C282" i="1"/>
  <c r="B282" i="1"/>
  <c r="G282" i="1" s="1"/>
  <c r="J281" i="1"/>
  <c r="I281" i="1"/>
  <c r="C281" i="1"/>
  <c r="H281" i="1" s="1"/>
  <c r="B281" i="1"/>
  <c r="G281" i="1" s="1"/>
  <c r="J280" i="1"/>
  <c r="I280" i="1"/>
  <c r="C280" i="1"/>
  <c r="B280" i="1"/>
  <c r="G280" i="1" s="1"/>
  <c r="J279" i="1"/>
  <c r="I279" i="1"/>
  <c r="C279" i="1"/>
  <c r="B279" i="1"/>
  <c r="G279" i="1" s="1"/>
  <c r="J278" i="1"/>
  <c r="I278" i="1"/>
  <c r="C278" i="1"/>
  <c r="B278" i="1"/>
  <c r="G278" i="1" s="1"/>
  <c r="J277" i="1"/>
  <c r="I277" i="1"/>
  <c r="C277" i="1"/>
  <c r="B277" i="1"/>
  <c r="G277" i="1" s="1"/>
  <c r="J276" i="1"/>
  <c r="I276" i="1"/>
  <c r="C276" i="1"/>
  <c r="B276" i="1"/>
  <c r="G276" i="1" s="1"/>
  <c r="J275" i="1"/>
  <c r="I275" i="1"/>
  <c r="C275" i="1"/>
  <c r="H275" i="1" s="1"/>
  <c r="B275" i="1"/>
  <c r="G275" i="1" s="1"/>
  <c r="J274" i="1"/>
  <c r="I274" i="1"/>
  <c r="H274" i="1"/>
  <c r="G274" i="1"/>
  <c r="C274" i="1"/>
  <c r="B274" i="1"/>
  <c r="J273" i="1"/>
  <c r="I273" i="1"/>
  <c r="C273" i="1"/>
  <c r="B273" i="1"/>
  <c r="G273" i="1" s="1"/>
  <c r="J272" i="1"/>
  <c r="I272" i="1"/>
  <c r="C272" i="1"/>
  <c r="H272" i="1" s="1"/>
  <c r="B272" i="1"/>
  <c r="G272" i="1" s="1"/>
  <c r="J271" i="1"/>
  <c r="I271" i="1"/>
  <c r="C271" i="1"/>
  <c r="B271" i="1"/>
  <c r="G271" i="1" s="1"/>
  <c r="J270" i="1"/>
  <c r="I270" i="1"/>
  <c r="C270" i="1"/>
  <c r="B270" i="1"/>
  <c r="G270" i="1" s="1"/>
  <c r="J269" i="1"/>
  <c r="I269" i="1"/>
  <c r="C269" i="1"/>
  <c r="B269" i="1"/>
  <c r="G269" i="1" s="1"/>
  <c r="J268" i="1"/>
  <c r="I268" i="1"/>
  <c r="C268" i="1"/>
  <c r="B268" i="1"/>
  <c r="G268" i="1" s="1"/>
  <c r="J267" i="1"/>
  <c r="I267" i="1"/>
  <c r="C267" i="1"/>
  <c r="B267" i="1"/>
  <c r="G267" i="1" s="1"/>
  <c r="J266" i="1"/>
  <c r="I266" i="1"/>
  <c r="H266" i="1"/>
  <c r="C266" i="1"/>
  <c r="B266" i="1"/>
  <c r="G266" i="1" s="1"/>
  <c r="J265" i="1"/>
  <c r="I265" i="1"/>
  <c r="C265" i="1"/>
  <c r="H265" i="1" s="1"/>
  <c r="B265" i="1"/>
  <c r="G265" i="1" s="1"/>
  <c r="J264" i="1"/>
  <c r="I264" i="1"/>
  <c r="H264" i="1"/>
  <c r="G264" i="1"/>
  <c r="C264" i="1"/>
  <c r="B264" i="1"/>
  <c r="J263" i="1"/>
  <c r="I263" i="1"/>
  <c r="C263" i="1"/>
  <c r="B263" i="1"/>
  <c r="G263" i="1" s="1"/>
  <c r="J262" i="1"/>
  <c r="I262" i="1"/>
  <c r="C262" i="1"/>
  <c r="H262" i="1" s="1"/>
  <c r="B262" i="1"/>
  <c r="G262" i="1" s="1"/>
  <c r="J261" i="1"/>
  <c r="I261" i="1"/>
  <c r="C261" i="1"/>
  <c r="B261" i="1"/>
  <c r="G261" i="1" s="1"/>
  <c r="J260" i="1"/>
  <c r="I260" i="1"/>
  <c r="C260" i="1"/>
  <c r="B260" i="1"/>
  <c r="G260" i="1" s="1"/>
  <c r="J259" i="1"/>
  <c r="I259" i="1"/>
  <c r="C259" i="1"/>
  <c r="H259" i="1" s="1"/>
  <c r="B259" i="1"/>
  <c r="G259" i="1" s="1"/>
  <c r="J258" i="1"/>
  <c r="I258" i="1"/>
  <c r="C258" i="1"/>
  <c r="B258" i="1"/>
  <c r="G258" i="1" s="1"/>
  <c r="J257" i="1"/>
  <c r="I257" i="1"/>
  <c r="C257" i="1"/>
  <c r="H257" i="1" s="1"/>
  <c r="B257" i="1"/>
  <c r="G257" i="1" s="1"/>
  <c r="J256" i="1"/>
  <c r="I256" i="1"/>
  <c r="H256" i="1"/>
  <c r="C256" i="1"/>
  <c r="B256" i="1"/>
  <c r="G256" i="1" s="1"/>
  <c r="J255" i="1"/>
  <c r="I255" i="1"/>
  <c r="C255" i="1"/>
  <c r="B255" i="1"/>
  <c r="G255" i="1" s="1"/>
  <c r="J254" i="1"/>
  <c r="I254" i="1"/>
  <c r="G254" i="1"/>
  <c r="C254" i="1"/>
  <c r="H254" i="1" s="1"/>
  <c r="B254" i="1"/>
  <c r="J253" i="1"/>
  <c r="I253" i="1"/>
  <c r="C253" i="1"/>
  <c r="B253" i="1"/>
  <c r="G253" i="1" s="1"/>
  <c r="J252" i="1"/>
  <c r="I252" i="1"/>
  <c r="H252" i="1"/>
  <c r="C252" i="1"/>
  <c r="B252" i="1"/>
  <c r="G252" i="1" s="1"/>
  <c r="J251" i="1"/>
  <c r="I251" i="1"/>
  <c r="C251" i="1"/>
  <c r="B251" i="1"/>
  <c r="G251" i="1" s="1"/>
  <c r="J250" i="1"/>
  <c r="I250" i="1"/>
  <c r="G250" i="1"/>
  <c r="C250" i="1"/>
  <c r="H250" i="1" s="1"/>
  <c r="B250" i="1"/>
  <c r="J249" i="1"/>
  <c r="I249" i="1"/>
  <c r="C249" i="1"/>
  <c r="B249" i="1"/>
  <c r="G249" i="1" s="1"/>
  <c r="J248" i="1"/>
  <c r="I248" i="1"/>
  <c r="C248" i="1"/>
  <c r="B248" i="1"/>
  <c r="G248" i="1" s="1"/>
  <c r="J247" i="1"/>
  <c r="I247" i="1"/>
  <c r="C247" i="1"/>
  <c r="B247" i="1"/>
  <c r="G247" i="1" s="1"/>
  <c r="J246" i="1"/>
  <c r="I246" i="1"/>
  <c r="C246" i="1"/>
  <c r="B246" i="1"/>
  <c r="G246" i="1" s="1"/>
  <c r="J245" i="1"/>
  <c r="I245" i="1"/>
  <c r="C245" i="1"/>
  <c r="B245" i="1"/>
  <c r="G245" i="1" s="1"/>
  <c r="J244" i="1"/>
  <c r="I244" i="1"/>
  <c r="C244" i="1"/>
  <c r="B244" i="1"/>
  <c r="G244" i="1" s="1"/>
  <c r="J243" i="1"/>
  <c r="I243" i="1"/>
  <c r="G243" i="1"/>
  <c r="C243" i="1"/>
  <c r="H244" i="1" s="1"/>
  <c r="B243" i="1"/>
  <c r="J242" i="1"/>
  <c r="I242" i="1"/>
  <c r="G242" i="1"/>
  <c r="C242" i="1"/>
  <c r="H242" i="1" s="1"/>
  <c r="B242" i="1"/>
  <c r="J241" i="1"/>
  <c r="I241" i="1"/>
  <c r="C241" i="1"/>
  <c r="B241" i="1"/>
  <c r="G241" i="1" s="1"/>
  <c r="J240" i="1"/>
  <c r="I240" i="1"/>
  <c r="C240" i="1"/>
  <c r="H240" i="1" s="1"/>
  <c r="B240" i="1"/>
  <c r="G240" i="1" s="1"/>
  <c r="J239" i="1"/>
  <c r="I239" i="1"/>
  <c r="C239" i="1"/>
  <c r="B239" i="1"/>
  <c r="G239" i="1" s="1"/>
  <c r="J238" i="1"/>
  <c r="I238" i="1"/>
  <c r="G238" i="1"/>
  <c r="C238" i="1"/>
  <c r="H238" i="1" s="1"/>
  <c r="B238" i="1"/>
  <c r="J237" i="1"/>
  <c r="I237" i="1"/>
  <c r="G237" i="1"/>
  <c r="C237" i="1"/>
  <c r="B237" i="1"/>
  <c r="J236" i="1"/>
  <c r="I236" i="1"/>
  <c r="C236" i="1"/>
  <c r="H236" i="1" s="1"/>
  <c r="B236" i="1"/>
  <c r="G236" i="1" s="1"/>
  <c r="J235" i="1"/>
  <c r="I235" i="1"/>
  <c r="C235" i="1"/>
  <c r="H235" i="1" s="1"/>
  <c r="B235" i="1"/>
  <c r="G235" i="1" s="1"/>
  <c r="J234" i="1"/>
  <c r="I234" i="1"/>
  <c r="C234" i="1"/>
  <c r="B234" i="1"/>
  <c r="G234" i="1" s="1"/>
  <c r="J233" i="1"/>
  <c r="I233" i="1"/>
  <c r="C233" i="1"/>
  <c r="H233" i="1" s="1"/>
  <c r="B233" i="1"/>
  <c r="G233" i="1" s="1"/>
  <c r="J232" i="1"/>
  <c r="I232" i="1"/>
  <c r="H232" i="1"/>
  <c r="C232" i="1"/>
  <c r="B232" i="1"/>
  <c r="G232" i="1" s="1"/>
  <c r="J231" i="1"/>
  <c r="I231" i="1"/>
  <c r="C231" i="1"/>
  <c r="B231" i="1"/>
  <c r="G231" i="1" s="1"/>
  <c r="J230" i="1"/>
  <c r="I230" i="1"/>
  <c r="G230" i="1"/>
  <c r="C230" i="1"/>
  <c r="H230" i="1" s="1"/>
  <c r="B230" i="1"/>
  <c r="J229" i="1"/>
  <c r="I229" i="1"/>
  <c r="C229" i="1"/>
  <c r="B229" i="1"/>
  <c r="G229" i="1" s="1"/>
  <c r="J228" i="1"/>
  <c r="I228" i="1"/>
  <c r="C228" i="1"/>
  <c r="H228" i="1" s="1"/>
  <c r="B228" i="1"/>
  <c r="G228" i="1" s="1"/>
  <c r="J227" i="1"/>
  <c r="I227" i="1"/>
  <c r="G227" i="1"/>
  <c r="C227" i="1"/>
  <c r="B227" i="1"/>
  <c r="J226" i="1"/>
  <c r="I226" i="1"/>
  <c r="C226" i="1"/>
  <c r="B226" i="1"/>
  <c r="G226" i="1" s="1"/>
  <c r="J225" i="1"/>
  <c r="I225" i="1"/>
  <c r="C225" i="1"/>
  <c r="B225" i="1"/>
  <c r="G225" i="1" s="1"/>
  <c r="J224" i="1"/>
  <c r="I224" i="1"/>
  <c r="C224" i="1"/>
  <c r="B224" i="1"/>
  <c r="G224" i="1" s="1"/>
  <c r="J223" i="1"/>
  <c r="I223" i="1"/>
  <c r="C223" i="1"/>
  <c r="B223" i="1"/>
  <c r="G223" i="1" s="1"/>
  <c r="J222" i="1"/>
  <c r="I222" i="1"/>
  <c r="C222" i="1"/>
  <c r="H222" i="1" s="1"/>
  <c r="B222" i="1"/>
  <c r="G222" i="1" s="1"/>
  <c r="J221" i="1"/>
  <c r="I221" i="1"/>
  <c r="C221" i="1"/>
  <c r="B221" i="1"/>
  <c r="G221" i="1" s="1"/>
  <c r="J220" i="1"/>
  <c r="I220" i="1"/>
  <c r="C220" i="1"/>
  <c r="H220" i="1" s="1"/>
  <c r="B220" i="1"/>
  <c r="G220" i="1" s="1"/>
  <c r="J219" i="1"/>
  <c r="I219" i="1"/>
  <c r="C219" i="1"/>
  <c r="B219" i="1"/>
  <c r="G219" i="1" s="1"/>
  <c r="J218" i="1"/>
  <c r="I218" i="1"/>
  <c r="G218" i="1"/>
  <c r="C218" i="1"/>
  <c r="H218" i="1" s="1"/>
  <c r="B218" i="1"/>
  <c r="J217" i="1"/>
  <c r="I217" i="1"/>
  <c r="G217" i="1"/>
  <c r="C217" i="1"/>
  <c r="B217" i="1"/>
  <c r="J216" i="1"/>
  <c r="I216" i="1"/>
  <c r="C216" i="1"/>
  <c r="H216" i="1" s="1"/>
  <c r="B216" i="1"/>
  <c r="G216" i="1" s="1"/>
  <c r="J215" i="1"/>
  <c r="I215" i="1"/>
  <c r="G215" i="1"/>
  <c r="C215" i="1"/>
  <c r="B215" i="1"/>
  <c r="J214" i="1"/>
  <c r="I214" i="1"/>
  <c r="C214" i="1"/>
  <c r="H214" i="1" s="1"/>
  <c r="B214" i="1"/>
  <c r="G214" i="1" s="1"/>
  <c r="J213" i="1"/>
  <c r="I213" i="1"/>
  <c r="G213" i="1"/>
  <c r="C213" i="1"/>
  <c r="H213" i="1" s="1"/>
  <c r="B213" i="1"/>
  <c r="J212" i="1"/>
  <c r="I212" i="1"/>
  <c r="C212" i="1"/>
  <c r="H212" i="1" s="1"/>
  <c r="B212" i="1"/>
  <c r="G212" i="1" s="1"/>
  <c r="J211" i="1"/>
  <c r="I211" i="1"/>
  <c r="C211" i="1"/>
  <c r="B211" i="1"/>
  <c r="G211" i="1" s="1"/>
  <c r="J210" i="1"/>
  <c r="I210" i="1"/>
  <c r="C210" i="1"/>
  <c r="H210" i="1" s="1"/>
  <c r="B210" i="1"/>
  <c r="G210" i="1" s="1"/>
  <c r="J209" i="1"/>
  <c r="I209" i="1"/>
  <c r="C209" i="1"/>
  <c r="B209" i="1"/>
  <c r="G209" i="1" s="1"/>
  <c r="J208" i="1"/>
  <c r="I208" i="1"/>
  <c r="C208" i="1"/>
  <c r="B208" i="1"/>
  <c r="G208" i="1" s="1"/>
  <c r="J207" i="1"/>
  <c r="I207" i="1"/>
  <c r="G207" i="1"/>
  <c r="C207" i="1"/>
  <c r="H207" i="1" s="1"/>
  <c r="B207" i="1"/>
  <c r="J206" i="1"/>
  <c r="I206" i="1"/>
  <c r="C206" i="1"/>
  <c r="H206" i="1" s="1"/>
  <c r="B206" i="1"/>
  <c r="G206" i="1" s="1"/>
  <c r="J205" i="1"/>
  <c r="I205" i="1"/>
  <c r="C205" i="1"/>
  <c r="B205" i="1"/>
  <c r="G205" i="1" s="1"/>
  <c r="J204" i="1"/>
  <c r="I204" i="1"/>
  <c r="C204" i="1"/>
  <c r="H204" i="1" s="1"/>
  <c r="B204" i="1"/>
  <c r="G204" i="1" s="1"/>
  <c r="J203" i="1"/>
  <c r="I203" i="1"/>
  <c r="G203" i="1"/>
  <c r="C203" i="1"/>
  <c r="H203" i="1" s="1"/>
  <c r="B203" i="1"/>
  <c r="J202" i="1"/>
  <c r="I202" i="1"/>
  <c r="C202" i="1"/>
  <c r="B202" i="1"/>
  <c r="G202" i="1" s="1"/>
  <c r="J201" i="1"/>
  <c r="I201" i="1"/>
  <c r="C201" i="1"/>
  <c r="H202" i="1" s="1"/>
  <c r="B201" i="1"/>
  <c r="G201" i="1" s="1"/>
  <c r="J200" i="1"/>
  <c r="I200" i="1"/>
  <c r="G200" i="1"/>
  <c r="C200" i="1"/>
  <c r="B200" i="1"/>
  <c r="J199" i="1"/>
  <c r="I199" i="1"/>
  <c r="C199" i="1"/>
  <c r="B199" i="1"/>
  <c r="G199" i="1" s="1"/>
  <c r="J198" i="1"/>
  <c r="I198" i="1"/>
  <c r="C198" i="1"/>
  <c r="H198" i="1" s="1"/>
  <c r="B198" i="1"/>
  <c r="G198" i="1" s="1"/>
  <c r="J197" i="1"/>
  <c r="I197" i="1"/>
  <c r="C197" i="1"/>
  <c r="B197" i="1"/>
  <c r="G197" i="1" s="1"/>
  <c r="J196" i="1"/>
  <c r="I196" i="1"/>
  <c r="C196" i="1"/>
  <c r="B196" i="1"/>
  <c r="G196" i="1" s="1"/>
  <c r="J195" i="1"/>
  <c r="I195" i="1"/>
  <c r="G195" i="1"/>
  <c r="C195" i="1"/>
  <c r="H196" i="1" s="1"/>
  <c r="B195" i="1"/>
  <c r="J194" i="1"/>
  <c r="I194" i="1"/>
  <c r="C194" i="1"/>
  <c r="B194" i="1"/>
  <c r="G194" i="1" s="1"/>
  <c r="J193" i="1"/>
  <c r="I193" i="1"/>
  <c r="C193" i="1"/>
  <c r="H193" i="1" s="1"/>
  <c r="B193" i="1"/>
  <c r="G193" i="1" s="1"/>
  <c r="J192" i="1"/>
  <c r="I192" i="1"/>
  <c r="C192" i="1"/>
  <c r="B192" i="1"/>
  <c r="G192" i="1" s="1"/>
  <c r="J191" i="1"/>
  <c r="I191" i="1"/>
  <c r="G191" i="1"/>
  <c r="C191" i="1"/>
  <c r="H192" i="1" s="1"/>
  <c r="B191" i="1"/>
  <c r="J190" i="1"/>
  <c r="I190" i="1"/>
  <c r="C190" i="1"/>
  <c r="B190" i="1"/>
  <c r="G190" i="1" s="1"/>
  <c r="J189" i="1"/>
  <c r="I189" i="1"/>
  <c r="C189" i="1"/>
  <c r="B189" i="1"/>
  <c r="G189" i="1" s="1"/>
  <c r="J188" i="1"/>
  <c r="I188" i="1"/>
  <c r="C188" i="1"/>
  <c r="H188" i="1" s="1"/>
  <c r="B188" i="1"/>
  <c r="G188" i="1" s="1"/>
  <c r="J187" i="1"/>
  <c r="I187" i="1"/>
  <c r="C187" i="1"/>
  <c r="B187" i="1"/>
  <c r="G187" i="1" s="1"/>
  <c r="J186" i="1"/>
  <c r="I186" i="1"/>
  <c r="C186" i="1"/>
  <c r="B186" i="1"/>
  <c r="G186" i="1" s="1"/>
  <c r="J185" i="1"/>
  <c r="I185" i="1"/>
  <c r="C185" i="1"/>
  <c r="H185" i="1" s="1"/>
  <c r="B185" i="1"/>
  <c r="G185" i="1" s="1"/>
  <c r="J184" i="1"/>
  <c r="I184" i="1"/>
  <c r="C184" i="1"/>
  <c r="B184" i="1"/>
  <c r="G184" i="1" s="1"/>
  <c r="J183" i="1"/>
  <c r="I183" i="1"/>
  <c r="C183" i="1"/>
  <c r="B183" i="1"/>
  <c r="G183" i="1" s="1"/>
  <c r="J182" i="1"/>
  <c r="I182" i="1"/>
  <c r="C182" i="1"/>
  <c r="B182" i="1"/>
  <c r="G182" i="1" s="1"/>
  <c r="J181" i="1"/>
  <c r="I181" i="1"/>
  <c r="G181" i="1"/>
  <c r="C181" i="1"/>
  <c r="B181" i="1"/>
  <c r="J180" i="1"/>
  <c r="I180" i="1"/>
  <c r="C180" i="1"/>
  <c r="B180" i="1"/>
  <c r="G180" i="1" s="1"/>
  <c r="J179" i="1"/>
  <c r="I179" i="1"/>
  <c r="C179" i="1"/>
  <c r="H179" i="1" s="1"/>
  <c r="B179" i="1"/>
  <c r="G179" i="1" s="1"/>
  <c r="J178" i="1"/>
  <c r="I178" i="1"/>
  <c r="G178" i="1"/>
  <c r="C178" i="1"/>
  <c r="B178" i="1"/>
  <c r="J177" i="1"/>
  <c r="I177" i="1"/>
  <c r="C177" i="1"/>
  <c r="H178" i="1" s="1"/>
  <c r="B177" i="1"/>
  <c r="G177" i="1" s="1"/>
  <c r="J176" i="1"/>
  <c r="I176" i="1"/>
  <c r="G176" i="1"/>
  <c r="C176" i="1"/>
  <c r="H176" i="1" s="1"/>
  <c r="B176" i="1"/>
  <c r="J175" i="1"/>
  <c r="I175" i="1"/>
  <c r="C175" i="1"/>
  <c r="B175" i="1"/>
  <c r="G175" i="1" s="1"/>
  <c r="J174" i="1"/>
  <c r="I174" i="1"/>
  <c r="C174" i="1"/>
  <c r="B174" i="1"/>
  <c r="G174" i="1" s="1"/>
  <c r="J173" i="1"/>
  <c r="I173" i="1"/>
  <c r="C173" i="1"/>
  <c r="B173" i="1"/>
  <c r="G173" i="1" s="1"/>
  <c r="J172" i="1"/>
  <c r="I172" i="1"/>
  <c r="C172" i="1"/>
  <c r="B172" i="1"/>
  <c r="G172" i="1" s="1"/>
  <c r="J171" i="1"/>
  <c r="I171" i="1"/>
  <c r="C171" i="1"/>
  <c r="B171" i="1"/>
  <c r="G171" i="1" s="1"/>
  <c r="J170" i="1"/>
  <c r="I170" i="1"/>
  <c r="C170" i="1"/>
  <c r="B170" i="1"/>
  <c r="G170" i="1" s="1"/>
  <c r="J169" i="1"/>
  <c r="I169" i="1"/>
  <c r="C169" i="1"/>
  <c r="B169" i="1"/>
  <c r="G169" i="1" s="1"/>
  <c r="J168" i="1"/>
  <c r="I168" i="1"/>
  <c r="G168" i="1"/>
  <c r="C168" i="1"/>
  <c r="B168" i="1"/>
  <c r="J167" i="1"/>
  <c r="I167" i="1"/>
  <c r="C167" i="1"/>
  <c r="B167" i="1"/>
  <c r="G167" i="1" s="1"/>
  <c r="J166" i="1"/>
  <c r="I166" i="1"/>
  <c r="C166" i="1"/>
  <c r="H166" i="1" s="1"/>
  <c r="B166" i="1"/>
  <c r="G166" i="1" s="1"/>
  <c r="J165" i="1"/>
  <c r="I165" i="1"/>
  <c r="C165" i="1"/>
  <c r="B165" i="1"/>
  <c r="G165" i="1" s="1"/>
  <c r="J164" i="1"/>
  <c r="I164" i="1"/>
  <c r="C164" i="1"/>
  <c r="B164" i="1"/>
  <c r="G164" i="1" s="1"/>
  <c r="J163" i="1"/>
  <c r="I163" i="1"/>
  <c r="C163" i="1"/>
  <c r="H163" i="1" s="1"/>
  <c r="B163" i="1"/>
  <c r="G163" i="1" s="1"/>
  <c r="J162" i="1"/>
  <c r="I162" i="1"/>
  <c r="C162" i="1"/>
  <c r="B162" i="1"/>
  <c r="G162" i="1" s="1"/>
  <c r="J161" i="1"/>
  <c r="I161" i="1"/>
  <c r="C161" i="1"/>
  <c r="B161" i="1"/>
  <c r="G161" i="1" s="1"/>
  <c r="J160" i="1"/>
  <c r="I160" i="1"/>
  <c r="C160" i="1"/>
  <c r="H160" i="1" s="1"/>
  <c r="B160" i="1"/>
  <c r="G160" i="1" s="1"/>
  <c r="J159" i="1"/>
  <c r="I159" i="1"/>
  <c r="G159" i="1"/>
  <c r="C159" i="1"/>
  <c r="B159" i="1"/>
  <c r="J158" i="1"/>
  <c r="I158" i="1"/>
  <c r="C158" i="1"/>
  <c r="H158" i="1" s="1"/>
  <c r="B158" i="1"/>
  <c r="G158" i="1" s="1"/>
  <c r="J157" i="1"/>
  <c r="I157" i="1"/>
  <c r="C157" i="1"/>
  <c r="B157" i="1"/>
  <c r="G157" i="1" s="1"/>
  <c r="J156" i="1"/>
  <c r="I156" i="1"/>
  <c r="G156" i="1"/>
  <c r="C156" i="1"/>
  <c r="B156" i="1"/>
  <c r="J155" i="1"/>
  <c r="I155" i="1"/>
  <c r="C155" i="1"/>
  <c r="B155" i="1"/>
  <c r="G155" i="1" s="1"/>
  <c r="J154" i="1"/>
  <c r="I154" i="1"/>
  <c r="C154" i="1"/>
  <c r="B154" i="1"/>
  <c r="G154" i="1" s="1"/>
  <c r="J153" i="1"/>
  <c r="I153" i="1"/>
  <c r="C153" i="1"/>
  <c r="B153" i="1"/>
  <c r="G153" i="1" s="1"/>
  <c r="J152" i="1"/>
  <c r="I152" i="1"/>
  <c r="C152" i="1"/>
  <c r="H152" i="1" s="1"/>
  <c r="B152" i="1"/>
  <c r="G152" i="1" s="1"/>
  <c r="J151" i="1"/>
  <c r="I151" i="1"/>
  <c r="C151" i="1"/>
  <c r="B151" i="1"/>
  <c r="G151" i="1" s="1"/>
  <c r="J150" i="1"/>
  <c r="I150" i="1"/>
  <c r="C150" i="1"/>
  <c r="B150" i="1"/>
  <c r="G150" i="1" s="1"/>
  <c r="J149" i="1"/>
  <c r="I149" i="1"/>
  <c r="C149" i="1"/>
  <c r="B149" i="1"/>
  <c r="G149" i="1" s="1"/>
  <c r="J148" i="1"/>
  <c r="I148" i="1"/>
  <c r="C148" i="1"/>
  <c r="H148" i="1" s="1"/>
  <c r="B148" i="1"/>
  <c r="G148" i="1" s="1"/>
  <c r="J147" i="1"/>
  <c r="I147" i="1"/>
  <c r="C147" i="1"/>
  <c r="B147" i="1"/>
  <c r="G147" i="1" s="1"/>
  <c r="J146" i="1"/>
  <c r="I146" i="1"/>
  <c r="H146" i="1"/>
  <c r="G146" i="1"/>
  <c r="C146" i="1"/>
  <c r="B146" i="1"/>
  <c r="J145" i="1"/>
  <c r="I145" i="1"/>
  <c r="G145" i="1"/>
  <c r="C145" i="1"/>
  <c r="B145" i="1"/>
  <c r="J144" i="1"/>
  <c r="I144" i="1"/>
  <c r="C144" i="1"/>
  <c r="B144" i="1"/>
  <c r="G144" i="1" s="1"/>
  <c r="J143" i="1"/>
  <c r="I143" i="1"/>
  <c r="G143" i="1"/>
  <c r="C143" i="1"/>
  <c r="B143" i="1"/>
  <c r="J142" i="1"/>
  <c r="I142" i="1"/>
  <c r="C142" i="1"/>
  <c r="B142" i="1"/>
  <c r="G142" i="1" s="1"/>
  <c r="J141" i="1"/>
  <c r="I141" i="1"/>
  <c r="G141" i="1"/>
  <c r="C141" i="1"/>
  <c r="H141" i="1" s="1"/>
  <c r="B141" i="1"/>
  <c r="J140" i="1"/>
  <c r="I140" i="1"/>
  <c r="C140" i="1"/>
  <c r="H140" i="1" s="1"/>
  <c r="B140" i="1"/>
  <c r="G140" i="1" s="1"/>
  <c r="J139" i="1"/>
  <c r="I139" i="1"/>
  <c r="C139" i="1"/>
  <c r="B139" i="1"/>
  <c r="G139" i="1" s="1"/>
  <c r="J138" i="1"/>
  <c r="I138" i="1"/>
  <c r="C138" i="1"/>
  <c r="H138" i="1" s="1"/>
  <c r="B138" i="1"/>
  <c r="G138" i="1" s="1"/>
  <c r="J137" i="1"/>
  <c r="I137" i="1"/>
  <c r="C137" i="1"/>
  <c r="B137" i="1"/>
  <c r="G137" i="1" s="1"/>
  <c r="J136" i="1"/>
  <c r="I136" i="1"/>
  <c r="C136" i="1"/>
  <c r="H136" i="1" s="1"/>
  <c r="B136" i="1"/>
  <c r="G136" i="1" s="1"/>
  <c r="J135" i="1"/>
  <c r="I135" i="1"/>
  <c r="G135" i="1"/>
  <c r="C135" i="1"/>
  <c r="H135" i="1" s="1"/>
  <c r="B135" i="1"/>
  <c r="J134" i="1"/>
  <c r="I134" i="1"/>
  <c r="G134" i="1"/>
  <c r="C134" i="1"/>
  <c r="B134" i="1"/>
  <c r="J133" i="1"/>
  <c r="I133" i="1"/>
  <c r="C133" i="1"/>
  <c r="B133" i="1"/>
  <c r="G133" i="1" s="1"/>
  <c r="J132" i="1"/>
  <c r="I132" i="1"/>
  <c r="C132" i="1"/>
  <c r="B132" i="1"/>
  <c r="G132" i="1" s="1"/>
  <c r="J131" i="1"/>
  <c r="I131" i="1"/>
  <c r="C131" i="1"/>
  <c r="H131" i="1" s="1"/>
  <c r="B131" i="1"/>
  <c r="G131" i="1" s="1"/>
  <c r="J130" i="1"/>
  <c r="I130" i="1"/>
  <c r="C130" i="1"/>
  <c r="B130" i="1"/>
  <c r="G130" i="1" s="1"/>
  <c r="J129" i="1"/>
  <c r="I129" i="1"/>
  <c r="C129" i="1"/>
  <c r="H130" i="1" s="1"/>
  <c r="B129" i="1"/>
  <c r="G129" i="1" s="1"/>
  <c r="J128" i="1"/>
  <c r="I128" i="1"/>
  <c r="G128" i="1"/>
  <c r="C128" i="1"/>
  <c r="B128" i="1"/>
  <c r="J127" i="1"/>
  <c r="I127" i="1"/>
  <c r="C127" i="1"/>
  <c r="B127" i="1"/>
  <c r="G127" i="1" s="1"/>
  <c r="J126" i="1"/>
  <c r="I126" i="1"/>
  <c r="C126" i="1"/>
  <c r="H126" i="1" s="1"/>
  <c r="B126" i="1"/>
  <c r="G126" i="1" s="1"/>
  <c r="J125" i="1"/>
  <c r="I125" i="1"/>
  <c r="C125" i="1"/>
  <c r="B125" i="1"/>
  <c r="G125" i="1" s="1"/>
  <c r="J124" i="1"/>
  <c r="I124" i="1"/>
  <c r="C124" i="1"/>
  <c r="B124" i="1"/>
  <c r="G124" i="1" s="1"/>
  <c r="J123" i="1"/>
  <c r="I123" i="1"/>
  <c r="C123" i="1"/>
  <c r="H124" i="1" s="1"/>
  <c r="B123" i="1"/>
  <c r="G123" i="1" s="1"/>
  <c r="J122" i="1"/>
  <c r="I122" i="1"/>
  <c r="C122" i="1"/>
  <c r="H122" i="1" s="1"/>
  <c r="B122" i="1"/>
  <c r="G122" i="1" s="1"/>
  <c r="J121" i="1"/>
  <c r="I121" i="1"/>
  <c r="C121" i="1"/>
  <c r="H121" i="1" s="1"/>
  <c r="B121" i="1"/>
  <c r="G121" i="1" s="1"/>
  <c r="J120" i="1"/>
  <c r="I120" i="1"/>
  <c r="C120" i="1"/>
  <c r="B120" i="1"/>
  <c r="G120" i="1" s="1"/>
  <c r="J119" i="1"/>
  <c r="I119" i="1"/>
  <c r="G119" i="1"/>
  <c r="C119" i="1"/>
  <c r="B119" i="1"/>
  <c r="J118" i="1"/>
  <c r="I118" i="1"/>
  <c r="G118" i="1"/>
  <c r="C118" i="1"/>
  <c r="H118" i="1" s="1"/>
  <c r="B118" i="1"/>
  <c r="J117" i="1"/>
  <c r="I117" i="1"/>
  <c r="G117" i="1"/>
  <c r="C117" i="1"/>
  <c r="B117" i="1"/>
  <c r="J116" i="1"/>
  <c r="I116" i="1"/>
  <c r="C116" i="1"/>
  <c r="H116" i="1" s="1"/>
  <c r="B116" i="1"/>
  <c r="G116" i="1" s="1"/>
  <c r="J115" i="1"/>
  <c r="I115" i="1"/>
  <c r="C115" i="1"/>
  <c r="B115" i="1"/>
  <c r="G115" i="1" s="1"/>
  <c r="J114" i="1"/>
  <c r="I114" i="1"/>
  <c r="C114" i="1"/>
  <c r="B114" i="1"/>
  <c r="G114" i="1" s="1"/>
  <c r="J113" i="1"/>
  <c r="I113" i="1"/>
  <c r="C113" i="1"/>
  <c r="H113" i="1" s="1"/>
  <c r="B113" i="1"/>
  <c r="G113" i="1" s="1"/>
  <c r="J112" i="1"/>
  <c r="I112" i="1"/>
  <c r="C112" i="1"/>
  <c r="B112" i="1"/>
  <c r="G112" i="1" s="1"/>
  <c r="J111" i="1"/>
  <c r="I111" i="1"/>
  <c r="G111" i="1"/>
  <c r="C111" i="1"/>
  <c r="B111" i="1"/>
  <c r="J110" i="1"/>
  <c r="I110" i="1"/>
  <c r="G110" i="1"/>
  <c r="C110" i="1"/>
  <c r="B110" i="1"/>
  <c r="J109" i="1"/>
  <c r="I109" i="1"/>
  <c r="C109" i="1"/>
  <c r="H110" i="1" s="1"/>
  <c r="B109" i="1"/>
  <c r="G109" i="1" s="1"/>
  <c r="J108" i="1"/>
  <c r="I108" i="1"/>
  <c r="H108" i="1"/>
  <c r="G108" i="1"/>
  <c r="C108" i="1"/>
  <c r="B108" i="1"/>
  <c r="J107" i="1"/>
  <c r="I107" i="1"/>
  <c r="C107" i="1"/>
  <c r="B107" i="1"/>
  <c r="G107" i="1" s="1"/>
  <c r="J106" i="1"/>
  <c r="I106" i="1"/>
  <c r="G106" i="1"/>
  <c r="C106" i="1"/>
  <c r="H106" i="1" s="1"/>
  <c r="B106" i="1"/>
  <c r="J105" i="1"/>
  <c r="I105" i="1"/>
  <c r="C105" i="1"/>
  <c r="B105" i="1"/>
  <c r="G105" i="1" s="1"/>
  <c r="J104" i="1"/>
  <c r="I104" i="1"/>
  <c r="G104" i="1"/>
  <c r="C104" i="1"/>
  <c r="H104" i="1" s="1"/>
  <c r="B104" i="1"/>
  <c r="J103" i="1"/>
  <c r="I103" i="1"/>
  <c r="C103" i="1"/>
  <c r="B103" i="1"/>
  <c r="G103" i="1" s="1"/>
  <c r="J102" i="1"/>
  <c r="I102" i="1"/>
  <c r="C102" i="1"/>
  <c r="B102" i="1"/>
  <c r="G102" i="1" s="1"/>
  <c r="J101" i="1"/>
  <c r="I101" i="1"/>
  <c r="C101" i="1"/>
  <c r="B101" i="1"/>
  <c r="G101" i="1" s="1"/>
  <c r="J100" i="1"/>
  <c r="I100" i="1"/>
  <c r="C100" i="1"/>
  <c r="B100" i="1"/>
  <c r="G100" i="1" s="1"/>
  <c r="J99" i="1"/>
  <c r="I99" i="1"/>
  <c r="C99" i="1"/>
  <c r="B99" i="1"/>
  <c r="G99" i="1" s="1"/>
  <c r="J98" i="1"/>
  <c r="I98" i="1"/>
  <c r="H98" i="1"/>
  <c r="G98" i="1"/>
  <c r="C98" i="1"/>
  <c r="B98" i="1"/>
  <c r="J97" i="1"/>
  <c r="I97" i="1"/>
  <c r="C97" i="1"/>
  <c r="B97" i="1"/>
  <c r="G97" i="1" s="1"/>
  <c r="J96" i="1"/>
  <c r="I96" i="1"/>
  <c r="G96" i="1"/>
  <c r="C96" i="1"/>
  <c r="B96" i="1"/>
  <c r="J95" i="1"/>
  <c r="I95" i="1"/>
  <c r="C95" i="1"/>
  <c r="B95" i="1"/>
  <c r="G95" i="1" s="1"/>
  <c r="J94" i="1"/>
  <c r="I94" i="1"/>
  <c r="C94" i="1"/>
  <c r="H94" i="1" s="1"/>
  <c r="B94" i="1"/>
  <c r="G94" i="1" s="1"/>
  <c r="J93" i="1"/>
  <c r="I93" i="1"/>
  <c r="C93" i="1"/>
  <c r="H93" i="1" s="1"/>
  <c r="B93" i="1"/>
  <c r="G93" i="1" s="1"/>
  <c r="J92" i="1"/>
  <c r="I92" i="1"/>
  <c r="C92" i="1"/>
  <c r="B92" i="1"/>
  <c r="G92" i="1" s="1"/>
  <c r="J91" i="1"/>
  <c r="I91" i="1"/>
  <c r="C91" i="1"/>
  <c r="H91" i="1" s="1"/>
  <c r="B91" i="1"/>
  <c r="G91" i="1" s="1"/>
  <c r="J90" i="1"/>
  <c r="I90" i="1"/>
  <c r="C90" i="1"/>
  <c r="H90" i="1" s="1"/>
  <c r="B90" i="1"/>
  <c r="G90" i="1" s="1"/>
  <c r="J89" i="1"/>
  <c r="I89" i="1"/>
  <c r="C89" i="1"/>
  <c r="B89" i="1"/>
  <c r="G89" i="1" s="1"/>
  <c r="J88" i="1"/>
  <c r="I88" i="1"/>
  <c r="C88" i="1"/>
  <c r="H88" i="1" s="1"/>
  <c r="B88" i="1"/>
  <c r="G88" i="1" s="1"/>
  <c r="J87" i="1"/>
  <c r="I87" i="1"/>
  <c r="C87" i="1"/>
  <c r="B87" i="1"/>
  <c r="G87" i="1" s="1"/>
  <c r="J86" i="1"/>
  <c r="I86" i="1"/>
  <c r="C86" i="1"/>
  <c r="H86" i="1" s="1"/>
  <c r="B86" i="1"/>
  <c r="G86" i="1" s="1"/>
  <c r="J85" i="1"/>
  <c r="I85" i="1"/>
  <c r="G85" i="1"/>
  <c r="C85" i="1"/>
  <c r="B85" i="1"/>
  <c r="J84" i="1"/>
  <c r="I84" i="1"/>
  <c r="H84" i="1"/>
  <c r="C84" i="1"/>
  <c r="B84" i="1"/>
  <c r="G84" i="1" s="1"/>
  <c r="J83" i="1"/>
  <c r="I83" i="1"/>
  <c r="C83" i="1"/>
  <c r="B83" i="1"/>
  <c r="G83" i="1" s="1"/>
  <c r="J82" i="1"/>
  <c r="I82" i="1"/>
  <c r="C82" i="1"/>
  <c r="B82" i="1"/>
  <c r="G82" i="1" s="1"/>
  <c r="J81" i="1"/>
  <c r="I81" i="1"/>
  <c r="C81" i="1"/>
  <c r="B81" i="1"/>
  <c r="G81" i="1" s="1"/>
  <c r="J80" i="1"/>
  <c r="I80" i="1"/>
  <c r="C80" i="1"/>
  <c r="H80" i="1" s="1"/>
  <c r="B80" i="1"/>
  <c r="G80" i="1" s="1"/>
  <c r="J79" i="1"/>
  <c r="I79" i="1"/>
  <c r="C79" i="1"/>
  <c r="B79" i="1"/>
  <c r="G79" i="1" s="1"/>
  <c r="J78" i="1"/>
  <c r="I78" i="1"/>
  <c r="C78" i="1"/>
  <c r="B78" i="1"/>
  <c r="G78" i="1" s="1"/>
  <c r="J77" i="1"/>
  <c r="I77" i="1"/>
  <c r="C77" i="1"/>
  <c r="B77" i="1"/>
  <c r="G77" i="1" s="1"/>
  <c r="J76" i="1"/>
  <c r="I76" i="1"/>
  <c r="C76" i="1"/>
  <c r="H76" i="1" s="1"/>
  <c r="B76" i="1"/>
  <c r="G76" i="1" s="1"/>
  <c r="J75" i="1"/>
  <c r="I75" i="1"/>
  <c r="G75" i="1"/>
  <c r="C75" i="1"/>
  <c r="B75" i="1"/>
  <c r="J74" i="1"/>
  <c r="I74" i="1"/>
  <c r="C74" i="1"/>
  <c r="H74" i="1" s="1"/>
  <c r="B74" i="1"/>
  <c r="G74" i="1" s="1"/>
  <c r="J73" i="1"/>
  <c r="I73" i="1"/>
  <c r="G73" i="1"/>
  <c r="C73" i="1"/>
  <c r="B73" i="1"/>
  <c r="J72" i="1"/>
  <c r="I72" i="1"/>
  <c r="C72" i="1"/>
  <c r="B72" i="1"/>
  <c r="G72" i="1" s="1"/>
  <c r="J71" i="1"/>
  <c r="I71" i="1"/>
  <c r="G71" i="1"/>
  <c r="C71" i="1"/>
  <c r="B71" i="1"/>
  <c r="J70" i="1"/>
  <c r="I70" i="1"/>
  <c r="C70" i="1"/>
  <c r="H70" i="1" s="1"/>
  <c r="B70" i="1"/>
  <c r="G70" i="1" s="1"/>
  <c r="J69" i="1"/>
  <c r="I69" i="1"/>
  <c r="C69" i="1"/>
  <c r="H69" i="1" s="1"/>
  <c r="B69" i="1"/>
  <c r="G69" i="1" s="1"/>
  <c r="J68" i="1"/>
  <c r="I68" i="1"/>
  <c r="C68" i="1"/>
  <c r="H68" i="1" s="1"/>
  <c r="B68" i="1"/>
  <c r="G68" i="1" s="1"/>
  <c r="J67" i="1"/>
  <c r="I67" i="1"/>
  <c r="C67" i="1"/>
  <c r="B67" i="1"/>
  <c r="G67" i="1" s="1"/>
  <c r="J66" i="1"/>
  <c r="I66" i="1"/>
  <c r="C66" i="1"/>
  <c r="B66" i="1"/>
  <c r="G66" i="1" s="1"/>
  <c r="J65" i="1"/>
  <c r="I65" i="1"/>
  <c r="C65" i="1"/>
  <c r="B65" i="1"/>
  <c r="G65" i="1" s="1"/>
  <c r="J64" i="1"/>
  <c r="I64" i="1"/>
  <c r="C64" i="1"/>
  <c r="H64" i="1" s="1"/>
  <c r="B64" i="1"/>
  <c r="G64" i="1" s="1"/>
  <c r="J63" i="1"/>
  <c r="I63" i="1"/>
  <c r="C63" i="1"/>
  <c r="B63" i="1"/>
  <c r="G63" i="1" s="1"/>
  <c r="J62" i="1"/>
  <c r="I62" i="1"/>
  <c r="C62" i="1"/>
  <c r="B62" i="1"/>
  <c r="G62" i="1" s="1"/>
  <c r="J61" i="1"/>
  <c r="I61" i="1"/>
  <c r="C61" i="1"/>
  <c r="H61" i="1" s="1"/>
  <c r="B61" i="1"/>
  <c r="G61" i="1" s="1"/>
  <c r="J60" i="1"/>
  <c r="I60" i="1"/>
  <c r="C60" i="1"/>
  <c r="B60" i="1"/>
  <c r="G60" i="1" s="1"/>
  <c r="J59" i="1"/>
  <c r="I59" i="1"/>
  <c r="C59" i="1"/>
  <c r="B59" i="1"/>
  <c r="G59" i="1" s="1"/>
  <c r="J58" i="1"/>
  <c r="I58" i="1"/>
  <c r="C58" i="1"/>
  <c r="H58" i="1" s="1"/>
  <c r="B58" i="1"/>
  <c r="G58" i="1" s="1"/>
  <c r="J57" i="1"/>
  <c r="I57" i="1"/>
  <c r="C57" i="1"/>
  <c r="B57" i="1"/>
  <c r="G57" i="1" s="1"/>
  <c r="J56" i="1"/>
  <c r="I56" i="1"/>
  <c r="C56" i="1"/>
  <c r="B56" i="1"/>
  <c r="G56" i="1" s="1"/>
  <c r="J55" i="1"/>
  <c r="I55" i="1"/>
  <c r="C55" i="1"/>
  <c r="H55" i="1" s="1"/>
  <c r="B55" i="1"/>
  <c r="G55" i="1" s="1"/>
  <c r="J54" i="1"/>
  <c r="I54" i="1"/>
  <c r="C54" i="1"/>
  <c r="B54" i="1"/>
  <c r="G54" i="1" s="1"/>
  <c r="J53" i="1"/>
  <c r="I53" i="1"/>
  <c r="C53" i="1"/>
  <c r="B53" i="1"/>
  <c r="G53" i="1" s="1"/>
  <c r="J52" i="1"/>
  <c r="I52" i="1"/>
  <c r="C52" i="1"/>
  <c r="H52" i="1" s="1"/>
  <c r="B52" i="1"/>
  <c r="G52" i="1" s="1"/>
  <c r="J51" i="1"/>
  <c r="I51" i="1"/>
  <c r="C51" i="1"/>
  <c r="B51" i="1"/>
  <c r="G51" i="1" s="1"/>
  <c r="J50" i="1"/>
  <c r="I50" i="1"/>
  <c r="C50" i="1"/>
  <c r="B50" i="1"/>
  <c r="G50" i="1" s="1"/>
  <c r="J49" i="1"/>
  <c r="I49" i="1"/>
  <c r="C49" i="1"/>
  <c r="H49" i="1" s="1"/>
  <c r="B49" i="1"/>
  <c r="G49" i="1" s="1"/>
  <c r="J48" i="1"/>
  <c r="I48" i="1"/>
  <c r="C48" i="1"/>
  <c r="B48" i="1"/>
  <c r="G48" i="1" s="1"/>
  <c r="J47" i="1"/>
  <c r="I47" i="1"/>
  <c r="C47" i="1"/>
  <c r="B47" i="1"/>
  <c r="G47" i="1" s="1"/>
  <c r="J46" i="1"/>
  <c r="I46" i="1"/>
  <c r="C46" i="1"/>
  <c r="H46" i="1" s="1"/>
  <c r="B46" i="1"/>
  <c r="G46" i="1" s="1"/>
  <c r="J45" i="1"/>
  <c r="I45" i="1"/>
  <c r="C45" i="1"/>
  <c r="B45" i="1"/>
  <c r="G45" i="1" s="1"/>
  <c r="J44" i="1"/>
  <c r="I44" i="1"/>
  <c r="C44" i="1"/>
  <c r="B44" i="1"/>
  <c r="G44" i="1" s="1"/>
  <c r="J43" i="1"/>
  <c r="I43" i="1"/>
  <c r="C43" i="1"/>
  <c r="H43" i="1" s="1"/>
  <c r="B43" i="1"/>
  <c r="G43" i="1" s="1"/>
  <c r="J42" i="1"/>
  <c r="I42" i="1"/>
  <c r="C42" i="1"/>
  <c r="B42" i="1"/>
  <c r="G42" i="1" s="1"/>
  <c r="J41" i="1"/>
  <c r="I41" i="1"/>
  <c r="C41" i="1"/>
  <c r="B41" i="1"/>
  <c r="G41" i="1" s="1"/>
  <c r="J40" i="1"/>
  <c r="I40" i="1"/>
  <c r="C40" i="1"/>
  <c r="H40" i="1" s="1"/>
  <c r="B40" i="1"/>
  <c r="G40" i="1" s="1"/>
  <c r="J39" i="1"/>
  <c r="I39" i="1"/>
  <c r="C39" i="1"/>
  <c r="B39" i="1"/>
  <c r="G39" i="1" s="1"/>
  <c r="J38" i="1"/>
  <c r="I38" i="1"/>
  <c r="C38" i="1"/>
  <c r="B38" i="1"/>
  <c r="G38" i="1" s="1"/>
  <c r="J37" i="1"/>
  <c r="I37" i="1"/>
  <c r="C37" i="1"/>
  <c r="H37" i="1" s="1"/>
  <c r="B37" i="1"/>
  <c r="G37" i="1" s="1"/>
  <c r="J36" i="1"/>
  <c r="I36" i="1"/>
  <c r="C36" i="1"/>
  <c r="B36" i="1"/>
  <c r="G36" i="1" s="1"/>
  <c r="J35" i="1"/>
  <c r="I35" i="1"/>
  <c r="C35" i="1"/>
  <c r="B35" i="1"/>
  <c r="G35" i="1" s="1"/>
  <c r="J34" i="1"/>
  <c r="I34" i="1"/>
  <c r="C34" i="1"/>
  <c r="H34" i="1" s="1"/>
  <c r="B34" i="1"/>
  <c r="G34" i="1" s="1"/>
  <c r="J33" i="1"/>
  <c r="I33" i="1"/>
  <c r="C33" i="1"/>
  <c r="B33" i="1"/>
  <c r="G33" i="1" s="1"/>
  <c r="J32" i="1"/>
  <c r="I32" i="1"/>
  <c r="C32" i="1"/>
  <c r="B32" i="1"/>
  <c r="G32" i="1" s="1"/>
  <c r="J31" i="1"/>
  <c r="I31" i="1"/>
  <c r="C31" i="1"/>
  <c r="H31" i="1" s="1"/>
  <c r="B31" i="1"/>
  <c r="G31" i="1" s="1"/>
  <c r="J30" i="1"/>
  <c r="I30" i="1"/>
  <c r="C30" i="1"/>
  <c r="B30" i="1"/>
  <c r="G30" i="1" s="1"/>
  <c r="J29" i="1"/>
  <c r="I29" i="1"/>
  <c r="C29" i="1"/>
  <c r="B29" i="1"/>
  <c r="G29" i="1" s="1"/>
  <c r="J28" i="1"/>
  <c r="I28" i="1"/>
  <c r="C28" i="1"/>
  <c r="H28" i="1" s="1"/>
  <c r="B28" i="1"/>
  <c r="G28" i="1" s="1"/>
  <c r="J27" i="1"/>
  <c r="I27" i="1"/>
  <c r="C27" i="1"/>
  <c r="B27" i="1"/>
  <c r="G27" i="1" s="1"/>
  <c r="J26" i="1"/>
  <c r="I26" i="1"/>
  <c r="C26" i="1"/>
  <c r="B26" i="1"/>
  <c r="G26" i="1" s="1"/>
  <c r="J25" i="1"/>
  <c r="I25" i="1"/>
  <c r="C25" i="1"/>
  <c r="B25" i="1"/>
  <c r="G25" i="1" s="1"/>
  <c r="J24" i="1"/>
  <c r="I24" i="1"/>
  <c r="G24" i="1"/>
  <c r="C24" i="1"/>
  <c r="B24" i="1"/>
  <c r="U23" i="1"/>
  <c r="J23" i="1"/>
  <c r="I23" i="1"/>
  <c r="C23" i="1"/>
  <c r="H23" i="1" s="1"/>
  <c r="B23" i="1"/>
  <c r="G23" i="1" s="1"/>
  <c r="J22" i="1"/>
  <c r="I22" i="1"/>
  <c r="G22" i="1"/>
  <c r="C22" i="1"/>
  <c r="B22" i="1"/>
  <c r="J21" i="1"/>
  <c r="I21" i="1"/>
  <c r="C21" i="1"/>
  <c r="H21" i="1" s="1"/>
  <c r="B21" i="1"/>
  <c r="G21" i="1" s="1"/>
  <c r="J20" i="1"/>
  <c r="I20" i="1"/>
  <c r="C20" i="1"/>
  <c r="H20" i="1" s="1"/>
  <c r="B20" i="1"/>
  <c r="G20" i="1" s="1"/>
  <c r="N19" i="1"/>
  <c r="J19" i="1"/>
  <c r="I19" i="1"/>
  <c r="C19" i="1"/>
  <c r="H19" i="1" s="1"/>
  <c r="B19" i="1"/>
  <c r="G19" i="1" s="1"/>
  <c r="N18" i="1"/>
  <c r="J18" i="1"/>
  <c r="O6" i="1" s="1"/>
  <c r="O7" i="1" s="1"/>
  <c r="I18" i="1"/>
  <c r="G18" i="1"/>
  <c r="C18" i="1"/>
  <c r="B18" i="1"/>
  <c r="U17" i="1"/>
  <c r="J17" i="1"/>
  <c r="I17" i="1"/>
  <c r="G17" i="1"/>
  <c r="C17" i="1"/>
  <c r="H18" i="1" s="1"/>
  <c r="B17" i="1"/>
  <c r="J16" i="1"/>
  <c r="I16" i="1"/>
  <c r="C16" i="1"/>
  <c r="B16" i="1"/>
  <c r="G16" i="1" s="1"/>
  <c r="J15" i="1"/>
  <c r="I15" i="1"/>
  <c r="N6" i="1" s="1"/>
  <c r="N7" i="1" s="1"/>
  <c r="C15" i="1"/>
  <c r="H15" i="1" s="1"/>
  <c r="B15" i="1"/>
  <c r="G15" i="1" s="1"/>
  <c r="N14" i="1"/>
  <c r="J14" i="1"/>
  <c r="I14" i="1"/>
  <c r="G14" i="1"/>
  <c r="C14" i="1"/>
  <c r="B14" i="1"/>
  <c r="J13" i="1"/>
  <c r="I13" i="1"/>
  <c r="C13" i="1"/>
  <c r="B13" i="1"/>
  <c r="G13" i="1" s="1"/>
  <c r="J12" i="1"/>
  <c r="I12" i="1"/>
  <c r="C12" i="1"/>
  <c r="B12" i="1"/>
  <c r="G12" i="1" s="1"/>
  <c r="U11" i="1"/>
  <c r="A7" i="3" s="1"/>
  <c r="J11" i="1"/>
  <c r="I11" i="1"/>
  <c r="C11" i="1"/>
  <c r="H11" i="1" s="1"/>
  <c r="B11" i="1"/>
  <c r="G11" i="1" s="1"/>
  <c r="J10" i="1"/>
  <c r="O19" i="1" s="1"/>
  <c r="I10" i="1"/>
  <c r="O18" i="1" s="1"/>
  <c r="H10" i="1"/>
  <c r="C10" i="1"/>
  <c r="B10" i="1"/>
  <c r="G10" i="1" s="1"/>
  <c r="J9" i="1"/>
  <c r="I9" i="1"/>
  <c r="C9" i="1"/>
  <c r="B9" i="1"/>
  <c r="G9" i="1" s="1"/>
  <c r="J8" i="1"/>
  <c r="I8" i="1"/>
  <c r="C8" i="1"/>
  <c r="H8" i="1" s="1"/>
  <c r="B8" i="1"/>
  <c r="G8" i="1" s="1"/>
  <c r="J7" i="1"/>
  <c r="O14" i="1" s="1"/>
  <c r="I7" i="1"/>
  <c r="C7" i="1"/>
  <c r="B7" i="1"/>
  <c r="G7" i="1" s="1"/>
  <c r="G6" i="1"/>
  <c r="C6" i="1"/>
  <c r="B6" i="1"/>
  <c r="U5" i="1"/>
  <c r="A12" i="3" s="1"/>
  <c r="C5" i="1"/>
  <c r="B5" i="1"/>
  <c r="H587" i="1" l="1"/>
  <c r="H588" i="1"/>
  <c r="H502" i="1"/>
  <c r="H541" i="1"/>
  <c r="H540" i="1"/>
  <c r="H305" i="1"/>
  <c r="H304" i="1"/>
  <c r="H577" i="1"/>
  <c r="H578" i="1"/>
  <c r="H17" i="1"/>
  <c r="H359" i="1"/>
  <c r="H360" i="1"/>
  <c r="H453" i="1"/>
  <c r="H22" i="1"/>
  <c r="H516" i="1"/>
  <c r="H517" i="1"/>
  <c r="H335" i="1"/>
  <c r="H14" i="1"/>
  <c r="H561" i="1"/>
  <c r="H226" i="1"/>
  <c r="H111" i="1"/>
  <c r="H112" i="1"/>
  <c r="H396" i="1"/>
  <c r="H404" i="1"/>
  <c r="H437" i="1"/>
  <c r="H473" i="1"/>
  <c r="H29" i="1"/>
  <c r="H32" i="1"/>
  <c r="H35" i="1"/>
  <c r="H38" i="1"/>
  <c r="H41" i="1"/>
  <c r="H44" i="1"/>
  <c r="H47" i="1"/>
  <c r="H50" i="1"/>
  <c r="H53" i="1"/>
  <c r="H56" i="1"/>
  <c r="H59" i="1"/>
  <c r="H62" i="1"/>
  <c r="H65" i="1"/>
  <c r="H142" i="1"/>
  <c r="H182" i="1"/>
  <c r="H300" i="1"/>
  <c r="H352" i="1"/>
  <c r="H462" i="1"/>
  <c r="H492" i="1"/>
  <c r="H495" i="1"/>
  <c r="H506" i="1"/>
  <c r="H616" i="1"/>
  <c r="H664" i="1"/>
  <c r="H712" i="1"/>
  <c r="H9" i="1"/>
  <c r="H134" i="1"/>
  <c r="H169" i="1"/>
  <c r="H278" i="1"/>
  <c r="H407" i="1"/>
  <c r="H567" i="1"/>
  <c r="H619" i="1"/>
  <c r="H667" i="1"/>
  <c r="H715" i="1"/>
  <c r="H24" i="1"/>
  <c r="H391" i="1"/>
  <c r="H752" i="1"/>
  <c r="H82" i="1"/>
  <c r="H100" i="1"/>
  <c r="H164" i="1"/>
  <c r="H172" i="1"/>
  <c r="H298" i="1"/>
  <c r="H490" i="1"/>
  <c r="H501" i="1"/>
  <c r="H557" i="1"/>
  <c r="H659" i="1"/>
  <c r="H36" i="1"/>
  <c r="H45" i="1"/>
  <c r="H57" i="1"/>
  <c r="H66" i="1"/>
  <c r="H268" i="1"/>
  <c r="H276" i="1"/>
  <c r="H290" i="1"/>
  <c r="H349" i="1"/>
  <c r="H406" i="1"/>
  <c r="H520" i="1"/>
  <c r="H528" i="1"/>
  <c r="H586" i="1"/>
  <c r="H600" i="1"/>
  <c r="H648" i="1"/>
  <c r="H696" i="1"/>
  <c r="H744" i="1"/>
  <c r="H342" i="1"/>
  <c r="H341" i="1"/>
  <c r="H26" i="1"/>
  <c r="H102" i="1"/>
  <c r="H260" i="1"/>
  <c r="H435" i="1"/>
  <c r="H446" i="1"/>
  <c r="H531" i="1"/>
  <c r="H530" i="1"/>
  <c r="H533" i="1"/>
  <c r="H608" i="1"/>
  <c r="H656" i="1"/>
  <c r="H704" i="1"/>
  <c r="H161" i="1"/>
  <c r="H180" i="1"/>
  <c r="H314" i="1"/>
  <c r="H383" i="1"/>
  <c r="H460" i="1"/>
  <c r="H474" i="1"/>
  <c r="H560" i="1"/>
  <c r="H611" i="1"/>
  <c r="H27" i="1"/>
  <c r="H33" i="1"/>
  <c r="H42" i="1"/>
  <c r="H48" i="1"/>
  <c r="H54" i="1"/>
  <c r="H63" i="1"/>
  <c r="H132" i="1"/>
  <c r="H183" i="1"/>
  <c r="H184" i="1"/>
  <c r="H7" i="1"/>
  <c r="M13" i="1" s="1"/>
  <c r="H154" i="1"/>
  <c r="H159" i="1"/>
  <c r="H186" i="1"/>
  <c r="H189" i="1"/>
  <c r="H279" i="1"/>
  <c r="H280" i="1"/>
  <c r="H312" i="1"/>
  <c r="H323" i="1"/>
  <c r="H364" i="1"/>
  <c r="H389" i="1"/>
  <c r="H422" i="1"/>
  <c r="H482" i="1"/>
  <c r="H489" i="1"/>
  <c r="H488" i="1"/>
  <c r="H543" i="1"/>
  <c r="H572" i="1"/>
  <c r="H603" i="1"/>
  <c r="H651" i="1"/>
  <c r="H699" i="1"/>
  <c r="H747" i="1"/>
  <c r="H16" i="1"/>
  <c r="H194" i="1"/>
  <c r="H707" i="1"/>
  <c r="H755" i="1"/>
  <c r="H13" i="1"/>
  <c r="H30" i="1"/>
  <c r="H39" i="1"/>
  <c r="H51" i="1"/>
  <c r="H60" i="1"/>
  <c r="H170" i="1"/>
  <c r="H208" i="1"/>
  <c r="H248" i="1"/>
  <c r="H282" i="1"/>
  <c r="H285" i="1"/>
  <c r="H326" i="1"/>
  <c r="H348" i="1"/>
  <c r="H392" i="1"/>
  <c r="H444" i="1"/>
  <c r="H534" i="1"/>
  <c r="H555" i="1"/>
  <c r="H570" i="1"/>
  <c r="H584" i="1"/>
  <c r="H592" i="1"/>
  <c r="H640" i="1"/>
  <c r="H688" i="1"/>
  <c r="H736" i="1"/>
  <c r="H67" i="1"/>
  <c r="H89" i="1"/>
  <c r="H92" i="1"/>
  <c r="H97" i="1"/>
  <c r="H107" i="1"/>
  <c r="H114" i="1"/>
  <c r="H117" i="1"/>
  <c r="H139" i="1"/>
  <c r="H174" i="1"/>
  <c r="H211" i="1"/>
  <c r="H255" i="1"/>
  <c r="H270" i="1"/>
  <c r="H317" i="1"/>
  <c r="H370" i="1"/>
  <c r="H375" i="1"/>
  <c r="H378" i="1"/>
  <c r="H415" i="1"/>
  <c r="H417" i="1"/>
  <c r="H498" i="1"/>
  <c r="H539" i="1"/>
  <c r="H563" i="1"/>
  <c r="H87" i="1"/>
  <c r="H224" i="1"/>
  <c r="H241" i="1"/>
  <c r="H251" i="1"/>
  <c r="H258" i="1"/>
  <c r="H261" i="1"/>
  <c r="H344" i="1"/>
  <c r="H358" i="1"/>
  <c r="H381" i="1"/>
  <c r="H394" i="1"/>
  <c r="H441" i="1"/>
  <c r="H457" i="1"/>
  <c r="H480" i="1"/>
  <c r="H590" i="1"/>
  <c r="H598" i="1"/>
  <c r="H606" i="1"/>
  <c r="H614" i="1"/>
  <c r="H622" i="1"/>
  <c r="H630" i="1"/>
  <c r="H638" i="1"/>
  <c r="H646" i="1"/>
  <c r="H654" i="1"/>
  <c r="H662" i="1"/>
  <c r="H670" i="1"/>
  <c r="H678" i="1"/>
  <c r="H686" i="1"/>
  <c r="H694" i="1"/>
  <c r="H702" i="1"/>
  <c r="H710" i="1"/>
  <c r="H718" i="1"/>
  <c r="H726" i="1"/>
  <c r="H734" i="1"/>
  <c r="H742" i="1"/>
  <c r="H750" i="1"/>
  <c r="H758" i="1"/>
  <c r="H162" i="1"/>
  <c r="H165" i="1"/>
  <c r="H187" i="1"/>
  <c r="H231" i="1"/>
  <c r="H246" i="1"/>
  <c r="H283" i="1"/>
  <c r="H315" i="1"/>
  <c r="H339" i="1"/>
  <c r="H347" i="1"/>
  <c r="H362" i="1"/>
  <c r="H386" i="1"/>
  <c r="H412" i="1"/>
  <c r="H449" i="1"/>
  <c r="H476" i="1"/>
  <c r="H536" i="1"/>
  <c r="H547" i="1"/>
  <c r="H73" i="1"/>
  <c r="H83" i="1"/>
  <c r="H115" i="1"/>
  <c r="H137" i="1"/>
  <c r="H145" i="1"/>
  <c r="H155" i="1"/>
  <c r="H190" i="1"/>
  <c r="H209" i="1"/>
  <c r="H286" i="1"/>
  <c r="H319" i="1"/>
  <c r="H365" i="1"/>
  <c r="H377" i="1"/>
  <c r="H423" i="1"/>
  <c r="H470" i="1"/>
  <c r="H496" i="1"/>
  <c r="H558" i="1"/>
  <c r="H753" i="1"/>
  <c r="H78" i="1"/>
  <c r="H128" i="1"/>
  <c r="H150" i="1"/>
  <c r="H200" i="1"/>
  <c r="H217" i="1"/>
  <c r="H227" i="1"/>
  <c r="H234" i="1"/>
  <c r="H237" i="1"/>
  <c r="H296" i="1"/>
  <c r="H308" i="1"/>
  <c r="H355" i="1"/>
  <c r="H402" i="1"/>
  <c r="H487" i="1"/>
  <c r="H515" i="1"/>
  <c r="H545" i="1"/>
  <c r="H25" i="1"/>
  <c r="O13" i="1"/>
  <c r="O5" i="1"/>
  <c r="O8" i="1" s="1"/>
  <c r="H71" i="1"/>
  <c r="H95" i="1"/>
  <c r="H119" i="1"/>
  <c r="H143" i="1"/>
  <c r="H167" i="1"/>
  <c r="H191" i="1"/>
  <c r="H215" i="1"/>
  <c r="H239" i="1"/>
  <c r="H263" i="1"/>
  <c r="H287" i="1"/>
  <c r="H318" i="1"/>
  <c r="H366" i="1"/>
  <c r="H414" i="1"/>
  <c r="H156" i="1"/>
  <c r="H309" i="1"/>
  <c r="H325" i="1"/>
  <c r="H334" i="1"/>
  <c r="H357" i="1"/>
  <c r="H373" i="1"/>
  <c r="H382" i="1"/>
  <c r="H405" i="1"/>
  <c r="H421" i="1"/>
  <c r="H430" i="1"/>
  <c r="H451" i="1"/>
  <c r="H559" i="1"/>
  <c r="N13" i="1"/>
  <c r="N5" i="1"/>
  <c r="N8" i="1" s="1"/>
  <c r="H486" i="1"/>
  <c r="H564" i="1"/>
  <c r="H85" i="1"/>
  <c r="H109" i="1"/>
  <c r="H133" i="1"/>
  <c r="H157" i="1"/>
  <c r="H181" i="1"/>
  <c r="H205" i="1"/>
  <c r="H229" i="1"/>
  <c r="H253" i="1"/>
  <c r="H277" i="1"/>
  <c r="H301" i="1"/>
  <c r="H328" i="1"/>
  <c r="H351" i="1"/>
  <c r="H376" i="1"/>
  <c r="H399" i="1"/>
  <c r="H424" i="1"/>
  <c r="H445" i="1"/>
  <c r="H484" i="1"/>
  <c r="H508" i="1"/>
  <c r="H522" i="1"/>
  <c r="H546" i="1"/>
  <c r="H72" i="1"/>
  <c r="H81" i="1"/>
  <c r="H96" i="1"/>
  <c r="H105" i="1"/>
  <c r="H120" i="1"/>
  <c r="H129" i="1"/>
  <c r="H144" i="1"/>
  <c r="H153" i="1"/>
  <c r="H168" i="1"/>
  <c r="H177" i="1"/>
  <c r="H201" i="1"/>
  <c r="H225" i="1"/>
  <c r="H249" i="1"/>
  <c r="H273" i="1"/>
  <c r="H297" i="1"/>
  <c r="H340" i="1"/>
  <c r="H388" i="1"/>
  <c r="H436" i="1"/>
  <c r="H443" i="1"/>
  <c r="H499" i="1"/>
  <c r="H504" i="1"/>
  <c r="H505" i="1"/>
  <c r="H537" i="1"/>
  <c r="H12" i="1"/>
  <c r="H79" i="1"/>
  <c r="H103" i="1"/>
  <c r="H127" i="1"/>
  <c r="H151" i="1"/>
  <c r="H175" i="1"/>
  <c r="H199" i="1"/>
  <c r="H223" i="1"/>
  <c r="H247" i="1"/>
  <c r="H271" i="1"/>
  <c r="H295" i="1"/>
  <c r="H331" i="1"/>
  <c r="H379" i="1"/>
  <c r="H427" i="1"/>
  <c r="H475" i="1"/>
  <c r="H77" i="1"/>
  <c r="H101" i="1"/>
  <c r="H125" i="1"/>
  <c r="H149" i="1"/>
  <c r="H173" i="1"/>
  <c r="H197" i="1"/>
  <c r="H221" i="1"/>
  <c r="H245" i="1"/>
  <c r="H269" i="1"/>
  <c r="H293" i="1"/>
  <c r="H320" i="1"/>
  <c r="H368" i="1"/>
  <c r="H416" i="1"/>
  <c r="H497" i="1"/>
  <c r="H535" i="1"/>
  <c r="H542" i="1"/>
  <c r="H75" i="1"/>
  <c r="H99" i="1"/>
  <c r="H123" i="1"/>
  <c r="H147" i="1"/>
  <c r="H171" i="1"/>
  <c r="H195" i="1"/>
  <c r="H219" i="1"/>
  <c r="H243" i="1"/>
  <c r="H267" i="1"/>
  <c r="H291" i="1"/>
  <c r="H464" i="1"/>
  <c r="H478" i="1"/>
  <c r="H456" i="1"/>
  <c r="H467" i="1"/>
  <c r="H593" i="1"/>
  <c r="H601" i="1"/>
  <c r="H609" i="1"/>
  <c r="H617" i="1"/>
  <c r="H625" i="1"/>
  <c r="H633" i="1"/>
  <c r="H641" i="1"/>
  <c r="H649" i="1"/>
  <c r="H657" i="1"/>
  <c r="H665" i="1"/>
  <c r="H673" i="1"/>
  <c r="H681" i="1"/>
  <c r="H689" i="1"/>
  <c r="H697" i="1"/>
  <c r="H705" i="1"/>
  <c r="H713" i="1"/>
  <c r="H721" i="1"/>
  <c r="H729" i="1"/>
  <c r="H737" i="1"/>
  <c r="H745" i="1"/>
  <c r="H514" i="1"/>
  <c r="H596" i="1"/>
  <c r="H604" i="1"/>
  <c r="H612" i="1"/>
  <c r="H620" i="1"/>
  <c r="H628" i="1"/>
  <c r="H636" i="1"/>
  <c r="H644" i="1"/>
  <c r="H652" i="1"/>
  <c r="H660" i="1"/>
  <c r="H668" i="1"/>
  <c r="H676" i="1"/>
  <c r="H684" i="1"/>
  <c r="H692" i="1"/>
  <c r="H700" i="1"/>
  <c r="H708" i="1"/>
  <c r="H716" i="1"/>
  <c r="H724" i="1"/>
  <c r="H732" i="1"/>
  <c r="H740" i="1"/>
  <c r="H748" i="1"/>
  <c r="H756" i="1"/>
  <c r="H591" i="1"/>
  <c r="H599" i="1"/>
  <c r="H607" i="1"/>
  <c r="H615" i="1"/>
  <c r="H623" i="1"/>
  <c r="H631" i="1"/>
  <c r="H639" i="1"/>
  <c r="H647" i="1"/>
  <c r="H655" i="1"/>
  <c r="H663" i="1"/>
  <c r="H671" i="1"/>
  <c r="H679" i="1"/>
  <c r="H687" i="1"/>
  <c r="H695" i="1"/>
  <c r="H703" i="1"/>
  <c r="H711" i="1"/>
  <c r="H719" i="1"/>
  <c r="H727" i="1"/>
  <c r="H735" i="1"/>
  <c r="H743" i="1"/>
  <c r="H751" i="1"/>
  <c r="H594" i="1"/>
  <c r="H602" i="1"/>
  <c r="H610" i="1"/>
  <c r="H618" i="1"/>
  <c r="H626" i="1"/>
  <c r="H634" i="1"/>
  <c r="H642" i="1"/>
  <c r="H650" i="1"/>
  <c r="H658" i="1"/>
  <c r="H666" i="1"/>
  <c r="H674" i="1"/>
  <c r="H682" i="1"/>
  <c r="H690" i="1"/>
  <c r="H698" i="1"/>
  <c r="H706" i="1"/>
  <c r="H714" i="1"/>
  <c r="H722" i="1"/>
  <c r="H730" i="1"/>
  <c r="H738" i="1"/>
  <c r="H746" i="1"/>
  <c r="H589" i="1"/>
  <c r="H597" i="1"/>
  <c r="H605" i="1"/>
  <c r="H613" i="1"/>
  <c r="H621" i="1"/>
  <c r="H629" i="1"/>
  <c r="H637" i="1"/>
  <c r="H645" i="1"/>
  <c r="H653" i="1"/>
  <c r="H661" i="1"/>
  <c r="H669" i="1"/>
  <c r="H677" i="1"/>
  <c r="H685" i="1"/>
  <c r="H693" i="1"/>
  <c r="H701" i="1"/>
  <c r="H709" i="1"/>
  <c r="H717" i="1"/>
  <c r="H725" i="1"/>
  <c r="H733" i="1"/>
  <c r="H741" i="1"/>
  <c r="H749" i="1"/>
  <c r="M18" i="1" l="1"/>
  <c r="O12" i="1"/>
  <c r="N12" i="1"/>
  <c r="M14" i="1"/>
  <c r="M5" i="1"/>
  <c r="M19" i="1"/>
  <c r="M17" i="1"/>
  <c r="N17" i="1"/>
  <c r="O17" i="1"/>
  <c r="M12" i="1"/>
  <c r="M6" i="1"/>
  <c r="M7" i="1" s="1"/>
  <c r="R6" i="1" l="1"/>
  <c r="R18" i="1"/>
  <c r="R24" i="1"/>
  <c r="M8" i="1"/>
  <c r="R12" i="1"/>
  <c r="R7" i="1" a="1"/>
  <c r="R7" i="1" s="1"/>
  <c r="T7" i="1" s="1"/>
  <c r="R19" i="1" a="1"/>
  <c r="R19" i="1" s="1"/>
  <c r="T19" i="1" s="1"/>
  <c r="R25" i="1" a="1"/>
  <c r="R25" i="1" s="1"/>
  <c r="T25" i="1" s="1"/>
  <c r="R13" i="1" a="1"/>
  <c r="R13" i="1" s="1"/>
  <c r="A10" i="3" l="1"/>
  <c r="T13" i="1"/>
  <c r="R14" i="1"/>
  <c r="T12" i="1"/>
  <c r="T14" i="1" s="1"/>
  <c r="T24" i="1"/>
  <c r="T26" i="1" s="1"/>
  <c r="R26" i="1"/>
  <c r="T18" i="1"/>
  <c r="T20" i="1" s="1"/>
  <c r="R20" i="1"/>
  <c r="T6" i="1"/>
  <c r="T8" i="1" s="1"/>
  <c r="R8" i="1"/>
</calcChain>
</file>

<file path=xl/sharedStrings.xml><?xml version="1.0" encoding="utf-8"?>
<sst xmlns="http://schemas.openxmlformats.org/spreadsheetml/2006/main" count="98" uniqueCount="24">
  <si>
    <t>Start Date</t>
  </si>
  <si>
    <t>End Date</t>
  </si>
  <si>
    <t>Closing Prices</t>
  </si>
  <si>
    <t>JPM</t>
  </si>
  <si>
    <t>MS</t>
  </si>
  <si>
    <t>GS</t>
  </si>
  <si>
    <t>Daily Returns</t>
  </si>
  <si>
    <t>Risk Summary</t>
  </si>
  <si>
    <t>Equal Weighted Portfolio</t>
  </si>
  <si>
    <t>Sum</t>
  </si>
  <si>
    <t>Close</t>
  </si>
  <si>
    <t>Date</t>
  </si>
  <si>
    <t>Expected Return</t>
  </si>
  <si>
    <t>Weights</t>
  </si>
  <si>
    <t>Standard Deviation</t>
  </si>
  <si>
    <t>(Daily)</t>
  </si>
  <si>
    <t>(Yearly)</t>
  </si>
  <si>
    <t>Variance</t>
  </si>
  <si>
    <t>Sharpe Ratio</t>
  </si>
  <si>
    <t>Minimum Variance Portfolio</t>
  </si>
  <si>
    <t>Covariance Matrix</t>
  </si>
  <si>
    <t>Correlation Matrix</t>
  </si>
  <si>
    <t>Maximum Returns Portfolio</t>
  </si>
  <si>
    <t>Maximum Sharpe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</si>
</sst>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:ss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13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9" fontId="2" fillId="0" borderId="7" xfId="0" applyNumberFormat="1" applyFont="1" applyBorder="1" applyAlignment="1">
      <alignment horizontal="center"/>
    </xf>
    <xf numFmtId="9" fontId="2" fillId="0" borderId="9" xfId="0" applyNumberFormat="1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1" fillId="0" borderId="5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14" xfId="0" applyFont="1" applyBorder="1"/>
    <xf numFmtId="0" fontId="1" fillId="0" borderId="14" xfId="0" applyFont="1" applyBorder="1" applyAlignment="1">
      <alignment horizontal="center"/>
    </xf>
    <xf numFmtId="0" fontId="2" fillId="0" borderId="13" xfId="0" applyFont="1" applyBorder="1"/>
    <xf numFmtId="10" fontId="2" fillId="0" borderId="0" xfId="0" applyNumberFormat="1" applyFont="1"/>
    <xf numFmtId="10" fontId="2" fillId="0" borderId="13" xfId="0" applyNumberFormat="1" applyFont="1" applyBorder="1"/>
    <xf numFmtId="10" fontId="2" fillId="0" borderId="12" xfId="0" applyNumberFormat="1" applyFont="1" applyBorder="1"/>
    <xf numFmtId="0" fontId="2" fillId="0" borderId="7" xfId="0" applyFont="1" applyBorder="1"/>
    <xf numFmtId="10" fontId="2" fillId="0" borderId="8" xfId="0" applyNumberFormat="1" applyFont="1" applyBorder="1"/>
    <xf numFmtId="10" fontId="2" fillId="0" borderId="7" xfId="0" applyNumberFormat="1" applyFont="1" applyBorder="1"/>
    <xf numFmtId="10" fontId="2" fillId="0" borderId="9" xfId="0" applyNumberFormat="1" applyFont="1" applyBorder="1"/>
    <xf numFmtId="0" fontId="1" fillId="0" borderId="15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JPM Closing Prices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Sheet1!$B$6:$B$758</c:f>
              <c:numCache>
                <c:formatCode>m/d/yyyy\ h:mm:ss</c:formatCode>
                <c:ptCount val="753"/>
                <c:pt idx="0">
                  <c:v>44564.666666666599</c:v>
                </c:pt>
                <c:pt idx="1">
                  <c:v>44565.666666666599</c:v>
                </c:pt>
                <c:pt idx="2">
                  <c:v>44566.666666666599</c:v>
                </c:pt>
                <c:pt idx="3">
                  <c:v>44567.666666666599</c:v>
                </c:pt>
                <c:pt idx="4">
                  <c:v>44568.666666666599</c:v>
                </c:pt>
                <c:pt idx="5">
                  <c:v>44571.666666666599</c:v>
                </c:pt>
                <c:pt idx="6">
                  <c:v>44572.666666666599</c:v>
                </c:pt>
                <c:pt idx="7">
                  <c:v>44573.666666666599</c:v>
                </c:pt>
                <c:pt idx="8">
                  <c:v>44574.666666666599</c:v>
                </c:pt>
                <c:pt idx="9">
                  <c:v>44575.666666666599</c:v>
                </c:pt>
                <c:pt idx="10">
                  <c:v>44579.666666666599</c:v>
                </c:pt>
                <c:pt idx="11">
                  <c:v>44580.666666666599</c:v>
                </c:pt>
                <c:pt idx="12">
                  <c:v>44581.666666666599</c:v>
                </c:pt>
                <c:pt idx="13">
                  <c:v>44582.666666666599</c:v>
                </c:pt>
                <c:pt idx="14">
                  <c:v>44585.666666666599</c:v>
                </c:pt>
                <c:pt idx="15">
                  <c:v>44586.666666666599</c:v>
                </c:pt>
                <c:pt idx="16">
                  <c:v>44587.666666666599</c:v>
                </c:pt>
                <c:pt idx="17">
                  <c:v>44588.666666666599</c:v>
                </c:pt>
                <c:pt idx="18">
                  <c:v>44589.666666666599</c:v>
                </c:pt>
                <c:pt idx="19">
                  <c:v>44592.666666666599</c:v>
                </c:pt>
                <c:pt idx="20">
                  <c:v>44593.666666666599</c:v>
                </c:pt>
                <c:pt idx="21">
                  <c:v>44594.666666666599</c:v>
                </c:pt>
                <c:pt idx="22">
                  <c:v>44595.666666666599</c:v>
                </c:pt>
                <c:pt idx="23">
                  <c:v>44596.666666666599</c:v>
                </c:pt>
                <c:pt idx="24">
                  <c:v>44599.666666666599</c:v>
                </c:pt>
                <c:pt idx="25">
                  <c:v>44600.666666666599</c:v>
                </c:pt>
                <c:pt idx="26">
                  <c:v>44601.666666666599</c:v>
                </c:pt>
                <c:pt idx="27">
                  <c:v>44602.666666666599</c:v>
                </c:pt>
                <c:pt idx="28">
                  <c:v>44603.666666666599</c:v>
                </c:pt>
                <c:pt idx="29">
                  <c:v>44606.666666666599</c:v>
                </c:pt>
                <c:pt idx="30">
                  <c:v>44607.666666666599</c:v>
                </c:pt>
                <c:pt idx="31">
                  <c:v>44608.666666666599</c:v>
                </c:pt>
                <c:pt idx="32">
                  <c:v>44609.666666666599</c:v>
                </c:pt>
                <c:pt idx="33">
                  <c:v>44610.666666666599</c:v>
                </c:pt>
                <c:pt idx="34">
                  <c:v>44614.666666666599</c:v>
                </c:pt>
                <c:pt idx="35">
                  <c:v>44615.666666666599</c:v>
                </c:pt>
                <c:pt idx="36">
                  <c:v>44616.666666666599</c:v>
                </c:pt>
                <c:pt idx="37">
                  <c:v>44617.666666666599</c:v>
                </c:pt>
                <c:pt idx="38">
                  <c:v>44620.666666666599</c:v>
                </c:pt>
                <c:pt idx="39">
                  <c:v>44621.666666666599</c:v>
                </c:pt>
                <c:pt idx="40">
                  <c:v>44622.666666666599</c:v>
                </c:pt>
                <c:pt idx="41">
                  <c:v>44623.666666666599</c:v>
                </c:pt>
                <c:pt idx="42">
                  <c:v>44624.666666666599</c:v>
                </c:pt>
                <c:pt idx="43">
                  <c:v>44627.666666666599</c:v>
                </c:pt>
                <c:pt idx="44">
                  <c:v>44628.666666666599</c:v>
                </c:pt>
                <c:pt idx="45">
                  <c:v>44629.666666666599</c:v>
                </c:pt>
                <c:pt idx="46">
                  <c:v>44630.666666666599</c:v>
                </c:pt>
                <c:pt idx="47">
                  <c:v>44631.666666666599</c:v>
                </c:pt>
                <c:pt idx="48">
                  <c:v>44634.666666666599</c:v>
                </c:pt>
                <c:pt idx="49">
                  <c:v>44635.666666666599</c:v>
                </c:pt>
                <c:pt idx="50">
                  <c:v>44636.666666666599</c:v>
                </c:pt>
                <c:pt idx="51">
                  <c:v>44637.666666666599</c:v>
                </c:pt>
                <c:pt idx="52">
                  <c:v>44638.666666666599</c:v>
                </c:pt>
                <c:pt idx="53">
                  <c:v>44641.666666666599</c:v>
                </c:pt>
                <c:pt idx="54">
                  <c:v>44642.666666666599</c:v>
                </c:pt>
                <c:pt idx="55">
                  <c:v>44643.666666666599</c:v>
                </c:pt>
                <c:pt idx="56">
                  <c:v>44644.666666666599</c:v>
                </c:pt>
                <c:pt idx="57">
                  <c:v>44645.666666666599</c:v>
                </c:pt>
                <c:pt idx="58">
                  <c:v>44648.666666666599</c:v>
                </c:pt>
                <c:pt idx="59">
                  <c:v>44649.666666666599</c:v>
                </c:pt>
                <c:pt idx="60">
                  <c:v>44650.666666666599</c:v>
                </c:pt>
                <c:pt idx="61">
                  <c:v>44651.666666666599</c:v>
                </c:pt>
                <c:pt idx="62">
                  <c:v>44652.666666666599</c:v>
                </c:pt>
                <c:pt idx="63">
                  <c:v>44655.666666666599</c:v>
                </c:pt>
                <c:pt idx="64">
                  <c:v>44656.666666666599</c:v>
                </c:pt>
                <c:pt idx="65">
                  <c:v>44657.666666666599</c:v>
                </c:pt>
                <c:pt idx="66">
                  <c:v>44658.666666666599</c:v>
                </c:pt>
                <c:pt idx="67">
                  <c:v>44659.666666666599</c:v>
                </c:pt>
                <c:pt idx="68">
                  <c:v>44662.666666666599</c:v>
                </c:pt>
                <c:pt idx="69">
                  <c:v>44663.666666666599</c:v>
                </c:pt>
                <c:pt idx="70">
                  <c:v>44664.666666666599</c:v>
                </c:pt>
                <c:pt idx="71">
                  <c:v>44665.666666666599</c:v>
                </c:pt>
                <c:pt idx="72">
                  <c:v>44669.666666666599</c:v>
                </c:pt>
                <c:pt idx="73">
                  <c:v>44670.666666666599</c:v>
                </c:pt>
                <c:pt idx="74">
                  <c:v>44671.666666666599</c:v>
                </c:pt>
                <c:pt idx="75">
                  <c:v>44672.666666666599</c:v>
                </c:pt>
                <c:pt idx="76">
                  <c:v>44673.666666666599</c:v>
                </c:pt>
                <c:pt idx="77">
                  <c:v>44676.666666666599</c:v>
                </c:pt>
                <c:pt idx="78">
                  <c:v>44677.666666666599</c:v>
                </c:pt>
                <c:pt idx="79">
                  <c:v>44678.666666666599</c:v>
                </c:pt>
                <c:pt idx="80">
                  <c:v>44679.666666666599</c:v>
                </c:pt>
                <c:pt idx="81">
                  <c:v>44680.666666666599</c:v>
                </c:pt>
                <c:pt idx="82">
                  <c:v>44683.666666666599</c:v>
                </c:pt>
                <c:pt idx="83">
                  <c:v>44684.666666666599</c:v>
                </c:pt>
                <c:pt idx="84">
                  <c:v>44685.666666666599</c:v>
                </c:pt>
                <c:pt idx="85">
                  <c:v>44686.666666666599</c:v>
                </c:pt>
                <c:pt idx="86">
                  <c:v>44687.666666666599</c:v>
                </c:pt>
                <c:pt idx="87">
                  <c:v>44690.666666666599</c:v>
                </c:pt>
                <c:pt idx="88">
                  <c:v>44691.666666666599</c:v>
                </c:pt>
                <c:pt idx="89">
                  <c:v>44692.666666666599</c:v>
                </c:pt>
                <c:pt idx="90">
                  <c:v>44693.666666666599</c:v>
                </c:pt>
                <c:pt idx="91">
                  <c:v>44694.666666666599</c:v>
                </c:pt>
                <c:pt idx="92">
                  <c:v>44697.666666666599</c:v>
                </c:pt>
                <c:pt idx="93">
                  <c:v>44698.666666666599</c:v>
                </c:pt>
                <c:pt idx="94">
                  <c:v>44699.666666666599</c:v>
                </c:pt>
                <c:pt idx="95">
                  <c:v>44700.666666666599</c:v>
                </c:pt>
                <c:pt idx="96">
                  <c:v>44701.666666666599</c:v>
                </c:pt>
                <c:pt idx="97">
                  <c:v>44704.666666666599</c:v>
                </c:pt>
                <c:pt idx="98">
                  <c:v>44705.666666666599</c:v>
                </c:pt>
                <c:pt idx="99">
                  <c:v>44706.666666666599</c:v>
                </c:pt>
                <c:pt idx="100">
                  <c:v>44707.666666666599</c:v>
                </c:pt>
                <c:pt idx="101">
                  <c:v>44708.666666666599</c:v>
                </c:pt>
                <c:pt idx="102">
                  <c:v>44712.666666666599</c:v>
                </c:pt>
                <c:pt idx="103">
                  <c:v>44713.666666666599</c:v>
                </c:pt>
                <c:pt idx="104">
                  <c:v>44714.666666666599</c:v>
                </c:pt>
                <c:pt idx="105">
                  <c:v>44715.666666666599</c:v>
                </c:pt>
                <c:pt idx="106">
                  <c:v>44718.666666666599</c:v>
                </c:pt>
                <c:pt idx="107">
                  <c:v>44719.666666666599</c:v>
                </c:pt>
                <c:pt idx="108">
                  <c:v>44720.666666666599</c:v>
                </c:pt>
                <c:pt idx="109">
                  <c:v>44721.666666666599</c:v>
                </c:pt>
                <c:pt idx="110">
                  <c:v>44722.666666666599</c:v>
                </c:pt>
                <c:pt idx="111">
                  <c:v>44725.666666666599</c:v>
                </c:pt>
                <c:pt idx="112">
                  <c:v>44726.666666666599</c:v>
                </c:pt>
                <c:pt idx="113">
                  <c:v>44727.666666666599</c:v>
                </c:pt>
                <c:pt idx="114">
                  <c:v>44728.666666666599</c:v>
                </c:pt>
                <c:pt idx="115">
                  <c:v>44729.666666666599</c:v>
                </c:pt>
                <c:pt idx="116">
                  <c:v>44733.666666666599</c:v>
                </c:pt>
                <c:pt idx="117">
                  <c:v>44734.666666666599</c:v>
                </c:pt>
                <c:pt idx="118">
                  <c:v>44735.666666666599</c:v>
                </c:pt>
                <c:pt idx="119">
                  <c:v>44736.666666666599</c:v>
                </c:pt>
                <c:pt idx="120">
                  <c:v>44739.666666666599</c:v>
                </c:pt>
                <c:pt idx="121">
                  <c:v>44740.666666666599</c:v>
                </c:pt>
                <c:pt idx="122">
                  <c:v>44741.666666666599</c:v>
                </c:pt>
                <c:pt idx="123">
                  <c:v>44742.666666666599</c:v>
                </c:pt>
                <c:pt idx="124">
                  <c:v>44743.666666666599</c:v>
                </c:pt>
                <c:pt idx="125">
                  <c:v>44747.666666666599</c:v>
                </c:pt>
                <c:pt idx="126">
                  <c:v>44748.666666666599</c:v>
                </c:pt>
                <c:pt idx="127">
                  <c:v>44749.666666666599</c:v>
                </c:pt>
                <c:pt idx="128">
                  <c:v>44750.666666666599</c:v>
                </c:pt>
                <c:pt idx="129">
                  <c:v>44753.666666666599</c:v>
                </c:pt>
                <c:pt idx="130">
                  <c:v>44754.666666666599</c:v>
                </c:pt>
                <c:pt idx="131">
                  <c:v>44755.666666666599</c:v>
                </c:pt>
                <c:pt idx="132">
                  <c:v>44756.666666666599</c:v>
                </c:pt>
                <c:pt idx="133">
                  <c:v>44757.666666666599</c:v>
                </c:pt>
                <c:pt idx="134">
                  <c:v>44760.666666666599</c:v>
                </c:pt>
                <c:pt idx="135">
                  <c:v>44761.666666666599</c:v>
                </c:pt>
                <c:pt idx="136">
                  <c:v>44762.666666666599</c:v>
                </c:pt>
                <c:pt idx="137">
                  <c:v>44763.666666666599</c:v>
                </c:pt>
                <c:pt idx="138">
                  <c:v>44764.666666666599</c:v>
                </c:pt>
                <c:pt idx="139">
                  <c:v>44767.666666666599</c:v>
                </c:pt>
                <c:pt idx="140">
                  <c:v>44768.666666666599</c:v>
                </c:pt>
                <c:pt idx="141">
                  <c:v>44769.666666666599</c:v>
                </c:pt>
                <c:pt idx="142">
                  <c:v>44770.666666666599</c:v>
                </c:pt>
                <c:pt idx="143">
                  <c:v>44771.666666666599</c:v>
                </c:pt>
                <c:pt idx="144">
                  <c:v>44774.666666666599</c:v>
                </c:pt>
                <c:pt idx="145">
                  <c:v>44775.666666666599</c:v>
                </c:pt>
                <c:pt idx="146">
                  <c:v>44776.666666666599</c:v>
                </c:pt>
                <c:pt idx="147">
                  <c:v>44777.666666666599</c:v>
                </c:pt>
                <c:pt idx="148">
                  <c:v>44778.666666666599</c:v>
                </c:pt>
                <c:pt idx="149">
                  <c:v>44781.666666666599</c:v>
                </c:pt>
                <c:pt idx="150">
                  <c:v>44782.666666666599</c:v>
                </c:pt>
                <c:pt idx="151">
                  <c:v>44783.666666666599</c:v>
                </c:pt>
                <c:pt idx="152">
                  <c:v>44784.666666666599</c:v>
                </c:pt>
                <c:pt idx="153">
                  <c:v>44785.666666666599</c:v>
                </c:pt>
                <c:pt idx="154">
                  <c:v>44788.666666666599</c:v>
                </c:pt>
                <c:pt idx="155">
                  <c:v>44789.666666666599</c:v>
                </c:pt>
                <c:pt idx="156">
                  <c:v>44790.666666666599</c:v>
                </c:pt>
                <c:pt idx="157">
                  <c:v>44791.666666666599</c:v>
                </c:pt>
                <c:pt idx="158">
                  <c:v>44792.666666666599</c:v>
                </c:pt>
                <c:pt idx="159">
                  <c:v>44795.666666666599</c:v>
                </c:pt>
                <c:pt idx="160">
                  <c:v>44796.666666666599</c:v>
                </c:pt>
                <c:pt idx="161">
                  <c:v>44797.666666666599</c:v>
                </c:pt>
                <c:pt idx="162">
                  <c:v>44798.666666666599</c:v>
                </c:pt>
                <c:pt idx="163">
                  <c:v>44799.666666666599</c:v>
                </c:pt>
                <c:pt idx="164">
                  <c:v>44802.666666666599</c:v>
                </c:pt>
                <c:pt idx="165">
                  <c:v>44803.666666666599</c:v>
                </c:pt>
                <c:pt idx="166">
                  <c:v>44804.666666666599</c:v>
                </c:pt>
                <c:pt idx="167">
                  <c:v>44805.666666666599</c:v>
                </c:pt>
                <c:pt idx="168">
                  <c:v>44806.666666666599</c:v>
                </c:pt>
                <c:pt idx="169">
                  <c:v>44810.666666666599</c:v>
                </c:pt>
                <c:pt idx="170">
                  <c:v>44811.666666666599</c:v>
                </c:pt>
                <c:pt idx="171">
                  <c:v>44812.666666666599</c:v>
                </c:pt>
                <c:pt idx="172">
                  <c:v>44813.666666666599</c:v>
                </c:pt>
                <c:pt idx="173">
                  <c:v>44816.666666666599</c:v>
                </c:pt>
                <c:pt idx="174">
                  <c:v>44817.666666666599</c:v>
                </c:pt>
                <c:pt idx="175">
                  <c:v>44818.666666666599</c:v>
                </c:pt>
                <c:pt idx="176">
                  <c:v>44819.666666666599</c:v>
                </c:pt>
                <c:pt idx="177">
                  <c:v>44820.666666666599</c:v>
                </c:pt>
                <c:pt idx="178">
                  <c:v>44823.666666666599</c:v>
                </c:pt>
                <c:pt idx="179">
                  <c:v>44824.666666666599</c:v>
                </c:pt>
                <c:pt idx="180">
                  <c:v>44825.666666666599</c:v>
                </c:pt>
                <c:pt idx="181">
                  <c:v>44826.666666666599</c:v>
                </c:pt>
                <c:pt idx="182">
                  <c:v>44827.666666666599</c:v>
                </c:pt>
                <c:pt idx="183">
                  <c:v>44830.666666666599</c:v>
                </c:pt>
                <c:pt idx="184">
                  <c:v>44831.666666666599</c:v>
                </c:pt>
                <c:pt idx="185">
                  <c:v>44832.666666666599</c:v>
                </c:pt>
                <c:pt idx="186">
                  <c:v>44833.666666666599</c:v>
                </c:pt>
                <c:pt idx="187">
                  <c:v>44834.666666666599</c:v>
                </c:pt>
                <c:pt idx="188">
                  <c:v>44837.666666666599</c:v>
                </c:pt>
                <c:pt idx="189">
                  <c:v>44838.666666666599</c:v>
                </c:pt>
                <c:pt idx="190">
                  <c:v>44839.666666666599</c:v>
                </c:pt>
                <c:pt idx="191">
                  <c:v>44840.666666666599</c:v>
                </c:pt>
                <c:pt idx="192">
                  <c:v>44841.666666666599</c:v>
                </c:pt>
                <c:pt idx="193">
                  <c:v>44844.666666666599</c:v>
                </c:pt>
                <c:pt idx="194">
                  <c:v>44845.666666666599</c:v>
                </c:pt>
                <c:pt idx="195">
                  <c:v>44846.666666666599</c:v>
                </c:pt>
                <c:pt idx="196">
                  <c:v>44847.666666666599</c:v>
                </c:pt>
                <c:pt idx="197">
                  <c:v>44848.666666666599</c:v>
                </c:pt>
                <c:pt idx="198">
                  <c:v>44851.666666666599</c:v>
                </c:pt>
                <c:pt idx="199">
                  <c:v>44852.666666666599</c:v>
                </c:pt>
                <c:pt idx="200">
                  <c:v>44853.666666666599</c:v>
                </c:pt>
                <c:pt idx="201">
                  <c:v>44854.666666666599</c:v>
                </c:pt>
                <c:pt idx="202">
                  <c:v>44855.666666666599</c:v>
                </c:pt>
                <c:pt idx="203">
                  <c:v>44858.666666666599</c:v>
                </c:pt>
                <c:pt idx="204">
                  <c:v>44859.666666666599</c:v>
                </c:pt>
                <c:pt idx="205">
                  <c:v>44860.666666666599</c:v>
                </c:pt>
                <c:pt idx="206">
                  <c:v>44861.666666666599</c:v>
                </c:pt>
                <c:pt idx="207">
                  <c:v>44862.666666666599</c:v>
                </c:pt>
                <c:pt idx="208">
                  <c:v>44865.666666666599</c:v>
                </c:pt>
                <c:pt idx="209">
                  <c:v>44866.666666666599</c:v>
                </c:pt>
                <c:pt idx="210">
                  <c:v>44867.666666666599</c:v>
                </c:pt>
                <c:pt idx="211">
                  <c:v>44868.666666666599</c:v>
                </c:pt>
                <c:pt idx="212">
                  <c:v>44869.666666666599</c:v>
                </c:pt>
                <c:pt idx="213">
                  <c:v>44872.666666666599</c:v>
                </c:pt>
                <c:pt idx="214">
                  <c:v>44873.666666666599</c:v>
                </c:pt>
                <c:pt idx="215">
                  <c:v>44874.666666666599</c:v>
                </c:pt>
                <c:pt idx="216">
                  <c:v>44875.666666666599</c:v>
                </c:pt>
                <c:pt idx="217">
                  <c:v>44876.666666666599</c:v>
                </c:pt>
                <c:pt idx="218">
                  <c:v>44879.666666666599</c:v>
                </c:pt>
                <c:pt idx="219">
                  <c:v>44880.666666666599</c:v>
                </c:pt>
                <c:pt idx="220">
                  <c:v>44881.666666666599</c:v>
                </c:pt>
                <c:pt idx="221">
                  <c:v>44882.666666666599</c:v>
                </c:pt>
                <c:pt idx="222">
                  <c:v>44883.666666666599</c:v>
                </c:pt>
                <c:pt idx="223">
                  <c:v>44886.666666666599</c:v>
                </c:pt>
                <c:pt idx="224">
                  <c:v>44887.666666666599</c:v>
                </c:pt>
                <c:pt idx="225">
                  <c:v>44888.666666666599</c:v>
                </c:pt>
                <c:pt idx="226">
                  <c:v>44890.541666666599</c:v>
                </c:pt>
                <c:pt idx="227">
                  <c:v>44893.666666666599</c:v>
                </c:pt>
                <c:pt idx="228">
                  <c:v>44894.666666666599</c:v>
                </c:pt>
                <c:pt idx="229">
                  <c:v>44895.666666666599</c:v>
                </c:pt>
                <c:pt idx="230">
                  <c:v>44896.666666666599</c:v>
                </c:pt>
                <c:pt idx="231">
                  <c:v>44897.666666666599</c:v>
                </c:pt>
                <c:pt idx="232">
                  <c:v>44900.666666666599</c:v>
                </c:pt>
                <c:pt idx="233">
                  <c:v>44901.666666666599</c:v>
                </c:pt>
                <c:pt idx="234">
                  <c:v>44902.666666666599</c:v>
                </c:pt>
                <c:pt idx="235">
                  <c:v>44903.666666666599</c:v>
                </c:pt>
                <c:pt idx="236">
                  <c:v>44904.666666666599</c:v>
                </c:pt>
                <c:pt idx="237">
                  <c:v>44907.666666666599</c:v>
                </c:pt>
                <c:pt idx="238">
                  <c:v>44908.666666666599</c:v>
                </c:pt>
                <c:pt idx="239">
                  <c:v>44909.666666666599</c:v>
                </c:pt>
                <c:pt idx="240">
                  <c:v>44910.666666666599</c:v>
                </c:pt>
                <c:pt idx="241">
                  <c:v>44911.666666666599</c:v>
                </c:pt>
                <c:pt idx="242">
                  <c:v>44914.666666666599</c:v>
                </c:pt>
                <c:pt idx="243">
                  <c:v>44915.666666666599</c:v>
                </c:pt>
                <c:pt idx="244">
                  <c:v>44916.666666666599</c:v>
                </c:pt>
                <c:pt idx="245">
                  <c:v>44917.666666666599</c:v>
                </c:pt>
                <c:pt idx="246">
                  <c:v>44918.666666666599</c:v>
                </c:pt>
                <c:pt idx="247">
                  <c:v>44922.666666666599</c:v>
                </c:pt>
                <c:pt idx="248">
                  <c:v>44923.666666666599</c:v>
                </c:pt>
                <c:pt idx="249">
                  <c:v>44924.666666666599</c:v>
                </c:pt>
                <c:pt idx="250">
                  <c:v>44925.666666666599</c:v>
                </c:pt>
                <c:pt idx="251">
                  <c:v>44929.666666666599</c:v>
                </c:pt>
                <c:pt idx="252">
                  <c:v>44930.666666666599</c:v>
                </c:pt>
                <c:pt idx="253">
                  <c:v>44931.666666666599</c:v>
                </c:pt>
                <c:pt idx="254">
                  <c:v>44932.666666666599</c:v>
                </c:pt>
                <c:pt idx="255">
                  <c:v>44935.666666666599</c:v>
                </c:pt>
                <c:pt idx="256">
                  <c:v>44936.666666666599</c:v>
                </c:pt>
                <c:pt idx="257">
                  <c:v>44937.666666666599</c:v>
                </c:pt>
                <c:pt idx="258">
                  <c:v>44938.666666666599</c:v>
                </c:pt>
                <c:pt idx="259">
                  <c:v>44939.666666666599</c:v>
                </c:pt>
                <c:pt idx="260">
                  <c:v>44943.666666666599</c:v>
                </c:pt>
                <c:pt idx="261">
                  <c:v>44944.666666666599</c:v>
                </c:pt>
                <c:pt idx="262">
                  <c:v>44945.666666666599</c:v>
                </c:pt>
                <c:pt idx="263">
                  <c:v>44946.666666666599</c:v>
                </c:pt>
                <c:pt idx="264">
                  <c:v>44949.666666666599</c:v>
                </c:pt>
                <c:pt idx="265">
                  <c:v>44950.666666666599</c:v>
                </c:pt>
                <c:pt idx="266">
                  <c:v>44951.666666666599</c:v>
                </c:pt>
                <c:pt idx="267">
                  <c:v>44952.666666666599</c:v>
                </c:pt>
                <c:pt idx="268">
                  <c:v>44953.666666666599</c:v>
                </c:pt>
                <c:pt idx="269">
                  <c:v>44956.666666666599</c:v>
                </c:pt>
                <c:pt idx="270">
                  <c:v>44957.666666666599</c:v>
                </c:pt>
                <c:pt idx="271">
                  <c:v>44958.666666666599</c:v>
                </c:pt>
                <c:pt idx="272">
                  <c:v>44959.666666666599</c:v>
                </c:pt>
                <c:pt idx="273">
                  <c:v>44960.666666666599</c:v>
                </c:pt>
                <c:pt idx="274">
                  <c:v>44963.666666666599</c:v>
                </c:pt>
                <c:pt idx="275">
                  <c:v>44964.666666666599</c:v>
                </c:pt>
                <c:pt idx="276">
                  <c:v>44965.666666666599</c:v>
                </c:pt>
                <c:pt idx="277">
                  <c:v>44966.666666666599</c:v>
                </c:pt>
                <c:pt idx="278">
                  <c:v>44967.666666666599</c:v>
                </c:pt>
                <c:pt idx="279">
                  <c:v>44970.666666666599</c:v>
                </c:pt>
                <c:pt idx="280">
                  <c:v>44971.666666666599</c:v>
                </c:pt>
                <c:pt idx="281">
                  <c:v>44972.666666666599</c:v>
                </c:pt>
                <c:pt idx="282">
                  <c:v>44973.666666666599</c:v>
                </c:pt>
                <c:pt idx="283">
                  <c:v>44974.666666666599</c:v>
                </c:pt>
                <c:pt idx="284">
                  <c:v>44978.666666666599</c:v>
                </c:pt>
                <c:pt idx="285">
                  <c:v>44979.666666666599</c:v>
                </c:pt>
                <c:pt idx="286">
                  <c:v>44980.666666666599</c:v>
                </c:pt>
                <c:pt idx="287">
                  <c:v>44981.666666666599</c:v>
                </c:pt>
                <c:pt idx="288">
                  <c:v>44984.666666666599</c:v>
                </c:pt>
                <c:pt idx="289">
                  <c:v>44985.666666666599</c:v>
                </c:pt>
                <c:pt idx="290">
                  <c:v>44986.666666666599</c:v>
                </c:pt>
                <c:pt idx="291">
                  <c:v>44987.666666666599</c:v>
                </c:pt>
                <c:pt idx="292">
                  <c:v>44988.666666666599</c:v>
                </c:pt>
                <c:pt idx="293">
                  <c:v>44991.666666666599</c:v>
                </c:pt>
                <c:pt idx="294">
                  <c:v>44992.666666666599</c:v>
                </c:pt>
                <c:pt idx="295">
                  <c:v>44993.666666666599</c:v>
                </c:pt>
                <c:pt idx="296">
                  <c:v>44994.666666666599</c:v>
                </c:pt>
                <c:pt idx="297">
                  <c:v>44995.666666666599</c:v>
                </c:pt>
                <c:pt idx="298">
                  <c:v>44998.666666666599</c:v>
                </c:pt>
                <c:pt idx="299">
                  <c:v>44999.666666666599</c:v>
                </c:pt>
                <c:pt idx="300">
                  <c:v>45000.666666666599</c:v>
                </c:pt>
                <c:pt idx="301">
                  <c:v>45001.666666666599</c:v>
                </c:pt>
                <c:pt idx="302">
                  <c:v>45002.666666666599</c:v>
                </c:pt>
                <c:pt idx="303">
                  <c:v>45005.666666666599</c:v>
                </c:pt>
                <c:pt idx="304">
                  <c:v>45006.666666666599</c:v>
                </c:pt>
                <c:pt idx="305">
                  <c:v>45007.666666666599</c:v>
                </c:pt>
                <c:pt idx="306">
                  <c:v>45008.666666666599</c:v>
                </c:pt>
                <c:pt idx="307">
                  <c:v>45009.666666666599</c:v>
                </c:pt>
                <c:pt idx="308">
                  <c:v>45012.666666666599</c:v>
                </c:pt>
                <c:pt idx="309">
                  <c:v>45013.666666666599</c:v>
                </c:pt>
                <c:pt idx="310">
                  <c:v>45014.666666666599</c:v>
                </c:pt>
                <c:pt idx="311">
                  <c:v>45015.666666666599</c:v>
                </c:pt>
                <c:pt idx="312">
                  <c:v>45016.666666666599</c:v>
                </c:pt>
                <c:pt idx="313">
                  <c:v>45019.666666666599</c:v>
                </c:pt>
                <c:pt idx="314">
                  <c:v>45020.666666666599</c:v>
                </c:pt>
                <c:pt idx="315">
                  <c:v>45021.666666666599</c:v>
                </c:pt>
                <c:pt idx="316">
                  <c:v>45022.666666666599</c:v>
                </c:pt>
                <c:pt idx="317">
                  <c:v>45026.666666666599</c:v>
                </c:pt>
                <c:pt idx="318">
                  <c:v>45027.666666666599</c:v>
                </c:pt>
                <c:pt idx="319">
                  <c:v>45028.666666666599</c:v>
                </c:pt>
                <c:pt idx="320">
                  <c:v>45029.666666666599</c:v>
                </c:pt>
                <c:pt idx="321">
                  <c:v>45030.666666666599</c:v>
                </c:pt>
                <c:pt idx="322">
                  <c:v>45033.666666666599</c:v>
                </c:pt>
                <c:pt idx="323">
                  <c:v>45034.666666666599</c:v>
                </c:pt>
                <c:pt idx="324">
                  <c:v>45035.666666666599</c:v>
                </c:pt>
                <c:pt idx="325">
                  <c:v>45036.666666666599</c:v>
                </c:pt>
                <c:pt idx="326">
                  <c:v>45037.666666666599</c:v>
                </c:pt>
                <c:pt idx="327">
                  <c:v>45040.666666666599</c:v>
                </c:pt>
                <c:pt idx="328">
                  <c:v>45041.666666666599</c:v>
                </c:pt>
                <c:pt idx="329">
                  <c:v>45042.666666666599</c:v>
                </c:pt>
                <c:pt idx="330">
                  <c:v>45043.666666666599</c:v>
                </c:pt>
                <c:pt idx="331">
                  <c:v>45044.666666666599</c:v>
                </c:pt>
                <c:pt idx="332">
                  <c:v>45047.666666666599</c:v>
                </c:pt>
                <c:pt idx="333">
                  <c:v>45048.666666666599</c:v>
                </c:pt>
                <c:pt idx="334">
                  <c:v>45049.666666666599</c:v>
                </c:pt>
                <c:pt idx="335">
                  <c:v>45050.666666666599</c:v>
                </c:pt>
                <c:pt idx="336">
                  <c:v>45051.666666666599</c:v>
                </c:pt>
                <c:pt idx="337">
                  <c:v>45054.666666666599</c:v>
                </c:pt>
                <c:pt idx="338">
                  <c:v>45055.666666666599</c:v>
                </c:pt>
                <c:pt idx="339">
                  <c:v>45056.666666666599</c:v>
                </c:pt>
                <c:pt idx="340">
                  <c:v>45057.666666666599</c:v>
                </c:pt>
                <c:pt idx="341">
                  <c:v>45058.666666666599</c:v>
                </c:pt>
                <c:pt idx="342">
                  <c:v>45061.666666666599</c:v>
                </c:pt>
                <c:pt idx="343">
                  <c:v>45062.666666666599</c:v>
                </c:pt>
                <c:pt idx="344">
                  <c:v>45063.666666666599</c:v>
                </c:pt>
                <c:pt idx="345">
                  <c:v>45064.666666666599</c:v>
                </c:pt>
                <c:pt idx="346">
                  <c:v>45065.666666666599</c:v>
                </c:pt>
                <c:pt idx="347">
                  <c:v>45068.666666666599</c:v>
                </c:pt>
                <c:pt idx="348">
                  <c:v>45069.666666666599</c:v>
                </c:pt>
                <c:pt idx="349">
                  <c:v>45070.666666666599</c:v>
                </c:pt>
                <c:pt idx="350">
                  <c:v>45071.666666666599</c:v>
                </c:pt>
                <c:pt idx="351">
                  <c:v>45072.666666666599</c:v>
                </c:pt>
                <c:pt idx="352">
                  <c:v>45076.666666666599</c:v>
                </c:pt>
                <c:pt idx="353">
                  <c:v>45077.666666666599</c:v>
                </c:pt>
                <c:pt idx="354">
                  <c:v>45078.666666666599</c:v>
                </c:pt>
                <c:pt idx="355">
                  <c:v>45079.666666666599</c:v>
                </c:pt>
                <c:pt idx="356">
                  <c:v>45082.666666666599</c:v>
                </c:pt>
                <c:pt idx="357">
                  <c:v>45083.666666666599</c:v>
                </c:pt>
                <c:pt idx="358">
                  <c:v>45084.666666666599</c:v>
                </c:pt>
                <c:pt idx="359">
                  <c:v>45085.666666666599</c:v>
                </c:pt>
                <c:pt idx="360">
                  <c:v>45086.666666666599</c:v>
                </c:pt>
                <c:pt idx="361">
                  <c:v>45089.666666666599</c:v>
                </c:pt>
                <c:pt idx="362">
                  <c:v>45090.666666666599</c:v>
                </c:pt>
                <c:pt idx="363">
                  <c:v>45091.666666666599</c:v>
                </c:pt>
                <c:pt idx="364">
                  <c:v>45092.666666666599</c:v>
                </c:pt>
                <c:pt idx="365">
                  <c:v>45093.666666666599</c:v>
                </c:pt>
                <c:pt idx="366">
                  <c:v>45097.666666666599</c:v>
                </c:pt>
                <c:pt idx="367">
                  <c:v>45098.666666666599</c:v>
                </c:pt>
                <c:pt idx="368">
                  <c:v>45099.666666666599</c:v>
                </c:pt>
                <c:pt idx="369">
                  <c:v>45100.666666666599</c:v>
                </c:pt>
                <c:pt idx="370">
                  <c:v>45103.666666666599</c:v>
                </c:pt>
                <c:pt idx="371">
                  <c:v>45104.666666666599</c:v>
                </c:pt>
                <c:pt idx="372">
                  <c:v>45105.666666666599</c:v>
                </c:pt>
                <c:pt idx="373">
                  <c:v>45106.666666666599</c:v>
                </c:pt>
                <c:pt idx="374">
                  <c:v>45107.666666666599</c:v>
                </c:pt>
                <c:pt idx="375">
                  <c:v>45110.541666666599</c:v>
                </c:pt>
                <c:pt idx="376">
                  <c:v>45112.666666666599</c:v>
                </c:pt>
                <c:pt idx="377">
                  <c:v>45113.666666666599</c:v>
                </c:pt>
                <c:pt idx="378">
                  <c:v>45114.666666666599</c:v>
                </c:pt>
                <c:pt idx="379">
                  <c:v>45117.666666666599</c:v>
                </c:pt>
                <c:pt idx="380">
                  <c:v>45118.666666666599</c:v>
                </c:pt>
                <c:pt idx="381">
                  <c:v>45119.666666666599</c:v>
                </c:pt>
                <c:pt idx="382">
                  <c:v>45120.666666666599</c:v>
                </c:pt>
                <c:pt idx="383">
                  <c:v>45121.666666666599</c:v>
                </c:pt>
                <c:pt idx="384">
                  <c:v>45124.666666666599</c:v>
                </c:pt>
                <c:pt idx="385">
                  <c:v>45125.666666666599</c:v>
                </c:pt>
                <c:pt idx="386">
                  <c:v>45126.666666666599</c:v>
                </c:pt>
                <c:pt idx="387">
                  <c:v>45127.666666666599</c:v>
                </c:pt>
                <c:pt idx="388">
                  <c:v>45128.666666666599</c:v>
                </c:pt>
                <c:pt idx="389">
                  <c:v>45131.666666666599</c:v>
                </c:pt>
                <c:pt idx="390">
                  <c:v>45132.666666666599</c:v>
                </c:pt>
                <c:pt idx="391">
                  <c:v>45133.666666666599</c:v>
                </c:pt>
                <c:pt idx="392">
                  <c:v>45134.666666666599</c:v>
                </c:pt>
                <c:pt idx="393">
                  <c:v>45135.666666666599</c:v>
                </c:pt>
                <c:pt idx="394">
                  <c:v>45138.666666666599</c:v>
                </c:pt>
                <c:pt idx="395">
                  <c:v>45139.666666666599</c:v>
                </c:pt>
                <c:pt idx="396">
                  <c:v>45140.666666666599</c:v>
                </c:pt>
                <c:pt idx="397">
                  <c:v>45141.666666666599</c:v>
                </c:pt>
                <c:pt idx="398">
                  <c:v>45142.666666666599</c:v>
                </c:pt>
                <c:pt idx="399">
                  <c:v>45145.666666666599</c:v>
                </c:pt>
                <c:pt idx="400">
                  <c:v>45146.666666666599</c:v>
                </c:pt>
                <c:pt idx="401">
                  <c:v>45147.666666666599</c:v>
                </c:pt>
                <c:pt idx="402">
                  <c:v>45148.666666666599</c:v>
                </c:pt>
                <c:pt idx="403">
                  <c:v>45149.666666666599</c:v>
                </c:pt>
                <c:pt idx="404">
                  <c:v>45152.666666666599</c:v>
                </c:pt>
                <c:pt idx="405">
                  <c:v>45153.666666666599</c:v>
                </c:pt>
                <c:pt idx="406">
                  <c:v>45154.666666666599</c:v>
                </c:pt>
                <c:pt idx="407">
                  <c:v>45155.666666666599</c:v>
                </c:pt>
                <c:pt idx="408">
                  <c:v>45156.666666666599</c:v>
                </c:pt>
                <c:pt idx="409">
                  <c:v>45159.666666666599</c:v>
                </c:pt>
                <c:pt idx="410">
                  <c:v>45160.666666666599</c:v>
                </c:pt>
                <c:pt idx="411">
                  <c:v>45161.666666666599</c:v>
                </c:pt>
                <c:pt idx="412">
                  <c:v>45162.666666666599</c:v>
                </c:pt>
                <c:pt idx="413">
                  <c:v>45163.666666666599</c:v>
                </c:pt>
                <c:pt idx="414">
                  <c:v>45166.666666666599</c:v>
                </c:pt>
                <c:pt idx="415">
                  <c:v>45167.666666666599</c:v>
                </c:pt>
                <c:pt idx="416">
                  <c:v>45168.666666666599</c:v>
                </c:pt>
                <c:pt idx="417">
                  <c:v>45169.666666666599</c:v>
                </c:pt>
                <c:pt idx="418">
                  <c:v>45170.666666666599</c:v>
                </c:pt>
                <c:pt idx="419">
                  <c:v>45174.666666666599</c:v>
                </c:pt>
                <c:pt idx="420">
                  <c:v>45175.666666666599</c:v>
                </c:pt>
                <c:pt idx="421">
                  <c:v>45176.666666666599</c:v>
                </c:pt>
                <c:pt idx="422">
                  <c:v>45177.666666666599</c:v>
                </c:pt>
                <c:pt idx="423">
                  <c:v>45180.666666666599</c:v>
                </c:pt>
                <c:pt idx="424">
                  <c:v>45181.666666666599</c:v>
                </c:pt>
                <c:pt idx="425">
                  <c:v>45182.666666666599</c:v>
                </c:pt>
                <c:pt idx="426">
                  <c:v>45183.666666666599</c:v>
                </c:pt>
                <c:pt idx="427">
                  <c:v>45184.666666666599</c:v>
                </c:pt>
                <c:pt idx="428">
                  <c:v>45187.666666666599</c:v>
                </c:pt>
                <c:pt idx="429">
                  <c:v>45188.666666666599</c:v>
                </c:pt>
                <c:pt idx="430">
                  <c:v>45189.666666666599</c:v>
                </c:pt>
                <c:pt idx="431">
                  <c:v>45190.666666666599</c:v>
                </c:pt>
                <c:pt idx="432">
                  <c:v>45191.666666666599</c:v>
                </c:pt>
                <c:pt idx="433">
                  <c:v>45194.666666666599</c:v>
                </c:pt>
                <c:pt idx="434">
                  <c:v>45195.666666666599</c:v>
                </c:pt>
                <c:pt idx="435">
                  <c:v>45196.666666666599</c:v>
                </c:pt>
                <c:pt idx="436">
                  <c:v>45197.666666666599</c:v>
                </c:pt>
                <c:pt idx="437">
                  <c:v>45198.666666666599</c:v>
                </c:pt>
                <c:pt idx="438">
                  <c:v>45201.666666666599</c:v>
                </c:pt>
                <c:pt idx="439">
                  <c:v>45202.666666666599</c:v>
                </c:pt>
                <c:pt idx="440">
                  <c:v>45203.666666666599</c:v>
                </c:pt>
                <c:pt idx="441">
                  <c:v>45204.666666666599</c:v>
                </c:pt>
                <c:pt idx="442">
                  <c:v>45205.666666666599</c:v>
                </c:pt>
                <c:pt idx="443">
                  <c:v>45208.666666666599</c:v>
                </c:pt>
                <c:pt idx="444">
                  <c:v>45209.666666666599</c:v>
                </c:pt>
                <c:pt idx="445">
                  <c:v>45210.666666666599</c:v>
                </c:pt>
                <c:pt idx="446">
                  <c:v>45211.666666666599</c:v>
                </c:pt>
                <c:pt idx="447">
                  <c:v>45212.666666666599</c:v>
                </c:pt>
                <c:pt idx="448">
                  <c:v>45215.666666666599</c:v>
                </c:pt>
                <c:pt idx="449">
                  <c:v>45216.666666666599</c:v>
                </c:pt>
                <c:pt idx="450">
                  <c:v>45217.666666666599</c:v>
                </c:pt>
                <c:pt idx="451">
                  <c:v>45218.666666666599</c:v>
                </c:pt>
                <c:pt idx="452">
                  <c:v>45219.666666666599</c:v>
                </c:pt>
                <c:pt idx="453">
                  <c:v>45222.666666666599</c:v>
                </c:pt>
                <c:pt idx="454">
                  <c:v>45223.666666666599</c:v>
                </c:pt>
                <c:pt idx="455">
                  <c:v>45224.666666666599</c:v>
                </c:pt>
                <c:pt idx="456">
                  <c:v>45225.666666666599</c:v>
                </c:pt>
                <c:pt idx="457">
                  <c:v>45226.666666666599</c:v>
                </c:pt>
                <c:pt idx="458">
                  <c:v>45229.666666666599</c:v>
                </c:pt>
                <c:pt idx="459">
                  <c:v>45230.666666666599</c:v>
                </c:pt>
                <c:pt idx="460">
                  <c:v>45231.666666666599</c:v>
                </c:pt>
                <c:pt idx="461">
                  <c:v>45232.666666666599</c:v>
                </c:pt>
                <c:pt idx="462">
                  <c:v>45233.666666666599</c:v>
                </c:pt>
                <c:pt idx="463">
                  <c:v>45236.666666666599</c:v>
                </c:pt>
                <c:pt idx="464">
                  <c:v>45237.666666666599</c:v>
                </c:pt>
                <c:pt idx="465">
                  <c:v>45238.666666666599</c:v>
                </c:pt>
                <c:pt idx="466">
                  <c:v>45239.666666666599</c:v>
                </c:pt>
                <c:pt idx="467">
                  <c:v>45240.666666666599</c:v>
                </c:pt>
                <c:pt idx="468">
                  <c:v>45243.666666666599</c:v>
                </c:pt>
                <c:pt idx="469">
                  <c:v>45244.666666666599</c:v>
                </c:pt>
                <c:pt idx="470">
                  <c:v>45245.666666666599</c:v>
                </c:pt>
                <c:pt idx="471">
                  <c:v>45246.666666666599</c:v>
                </c:pt>
                <c:pt idx="472">
                  <c:v>45247.666666666599</c:v>
                </c:pt>
                <c:pt idx="473">
                  <c:v>45250.666666666599</c:v>
                </c:pt>
                <c:pt idx="474">
                  <c:v>45251.666666666599</c:v>
                </c:pt>
                <c:pt idx="475">
                  <c:v>45252.666666666599</c:v>
                </c:pt>
                <c:pt idx="476">
                  <c:v>45254.541666666599</c:v>
                </c:pt>
                <c:pt idx="477">
                  <c:v>45257.666666666599</c:v>
                </c:pt>
                <c:pt idx="478">
                  <c:v>45258.666666666599</c:v>
                </c:pt>
                <c:pt idx="479">
                  <c:v>45259.666666666599</c:v>
                </c:pt>
                <c:pt idx="480">
                  <c:v>45260.666666666599</c:v>
                </c:pt>
                <c:pt idx="481">
                  <c:v>45261.666666666599</c:v>
                </c:pt>
                <c:pt idx="482">
                  <c:v>45264.666666666599</c:v>
                </c:pt>
                <c:pt idx="483">
                  <c:v>45265.666666666599</c:v>
                </c:pt>
                <c:pt idx="484">
                  <c:v>45266.666666666599</c:v>
                </c:pt>
                <c:pt idx="485">
                  <c:v>45267.666666666599</c:v>
                </c:pt>
                <c:pt idx="486">
                  <c:v>45268.666666666599</c:v>
                </c:pt>
                <c:pt idx="487">
                  <c:v>45271.666666666599</c:v>
                </c:pt>
                <c:pt idx="488">
                  <c:v>45272.666666666599</c:v>
                </c:pt>
                <c:pt idx="489">
                  <c:v>45273.666666666599</c:v>
                </c:pt>
                <c:pt idx="490">
                  <c:v>45274.666666666599</c:v>
                </c:pt>
                <c:pt idx="491">
                  <c:v>45275.666666666599</c:v>
                </c:pt>
                <c:pt idx="492">
                  <c:v>45278.666666666599</c:v>
                </c:pt>
                <c:pt idx="493">
                  <c:v>45279.666666666599</c:v>
                </c:pt>
                <c:pt idx="494">
                  <c:v>45280.666666666599</c:v>
                </c:pt>
                <c:pt idx="495">
                  <c:v>45281.666666666599</c:v>
                </c:pt>
                <c:pt idx="496">
                  <c:v>45282.666666666599</c:v>
                </c:pt>
                <c:pt idx="497">
                  <c:v>45286.666666666599</c:v>
                </c:pt>
                <c:pt idx="498">
                  <c:v>45287.666666666599</c:v>
                </c:pt>
                <c:pt idx="499">
                  <c:v>45288.666666666599</c:v>
                </c:pt>
                <c:pt idx="500">
                  <c:v>45289.666666666599</c:v>
                </c:pt>
                <c:pt idx="501">
                  <c:v>45293.666666666599</c:v>
                </c:pt>
                <c:pt idx="502">
                  <c:v>45294.666666666599</c:v>
                </c:pt>
                <c:pt idx="503">
                  <c:v>45295.666666666599</c:v>
                </c:pt>
                <c:pt idx="504">
                  <c:v>45296.666666666599</c:v>
                </c:pt>
                <c:pt idx="505">
                  <c:v>45299.666666666599</c:v>
                </c:pt>
                <c:pt idx="506">
                  <c:v>45300.666666666599</c:v>
                </c:pt>
                <c:pt idx="507">
                  <c:v>45301.666666666599</c:v>
                </c:pt>
                <c:pt idx="508">
                  <c:v>45302.666666666599</c:v>
                </c:pt>
                <c:pt idx="509">
                  <c:v>45303.666666666599</c:v>
                </c:pt>
                <c:pt idx="510">
                  <c:v>45307.666666666599</c:v>
                </c:pt>
                <c:pt idx="511">
                  <c:v>45308.666666666599</c:v>
                </c:pt>
                <c:pt idx="512">
                  <c:v>45309.666666666599</c:v>
                </c:pt>
                <c:pt idx="513">
                  <c:v>45310.666666666599</c:v>
                </c:pt>
                <c:pt idx="514">
                  <c:v>45313.666666666599</c:v>
                </c:pt>
                <c:pt idx="515">
                  <c:v>45314.666666666599</c:v>
                </c:pt>
                <c:pt idx="516">
                  <c:v>45315.666666666599</c:v>
                </c:pt>
                <c:pt idx="517">
                  <c:v>45316.666666666599</c:v>
                </c:pt>
                <c:pt idx="518">
                  <c:v>45317.666666666599</c:v>
                </c:pt>
                <c:pt idx="519">
                  <c:v>45320.666666666599</c:v>
                </c:pt>
                <c:pt idx="520">
                  <c:v>45321.666666666599</c:v>
                </c:pt>
                <c:pt idx="521">
                  <c:v>45322.666666666599</c:v>
                </c:pt>
                <c:pt idx="522">
                  <c:v>45323.666666666599</c:v>
                </c:pt>
                <c:pt idx="523">
                  <c:v>45324.666666666599</c:v>
                </c:pt>
                <c:pt idx="524">
                  <c:v>45327.666666666599</c:v>
                </c:pt>
                <c:pt idx="525">
                  <c:v>45328.666666666599</c:v>
                </c:pt>
                <c:pt idx="526">
                  <c:v>45329.666666666599</c:v>
                </c:pt>
                <c:pt idx="527">
                  <c:v>45330.666666666599</c:v>
                </c:pt>
                <c:pt idx="528">
                  <c:v>45331.666666666599</c:v>
                </c:pt>
                <c:pt idx="529">
                  <c:v>45334.666666666599</c:v>
                </c:pt>
                <c:pt idx="530">
                  <c:v>45335.666666666599</c:v>
                </c:pt>
                <c:pt idx="531">
                  <c:v>45336.666666666599</c:v>
                </c:pt>
                <c:pt idx="532">
                  <c:v>45337.666666666599</c:v>
                </c:pt>
                <c:pt idx="533">
                  <c:v>45338.666666666599</c:v>
                </c:pt>
                <c:pt idx="534">
                  <c:v>45342.666666666599</c:v>
                </c:pt>
                <c:pt idx="535">
                  <c:v>45343.666666666599</c:v>
                </c:pt>
                <c:pt idx="536">
                  <c:v>45344.666666666599</c:v>
                </c:pt>
                <c:pt idx="537">
                  <c:v>45345.666666666599</c:v>
                </c:pt>
                <c:pt idx="538">
                  <c:v>45348.666666666599</c:v>
                </c:pt>
                <c:pt idx="539">
                  <c:v>45349.666666666599</c:v>
                </c:pt>
                <c:pt idx="540">
                  <c:v>45350.666666666599</c:v>
                </c:pt>
                <c:pt idx="541">
                  <c:v>45351.666666666599</c:v>
                </c:pt>
                <c:pt idx="542">
                  <c:v>45352.666666666599</c:v>
                </c:pt>
                <c:pt idx="543">
                  <c:v>45355.666666666599</c:v>
                </c:pt>
                <c:pt idx="544">
                  <c:v>45356.666666666599</c:v>
                </c:pt>
                <c:pt idx="545">
                  <c:v>45357.666666666599</c:v>
                </c:pt>
                <c:pt idx="546">
                  <c:v>45358.666666666599</c:v>
                </c:pt>
                <c:pt idx="547">
                  <c:v>45359.666666666599</c:v>
                </c:pt>
                <c:pt idx="548">
                  <c:v>45362.666666666599</c:v>
                </c:pt>
                <c:pt idx="549">
                  <c:v>45363.666666666599</c:v>
                </c:pt>
                <c:pt idx="550">
                  <c:v>45364.666666666599</c:v>
                </c:pt>
                <c:pt idx="551">
                  <c:v>45365.666666666599</c:v>
                </c:pt>
                <c:pt idx="552">
                  <c:v>45366.666666666599</c:v>
                </c:pt>
                <c:pt idx="553">
                  <c:v>45369.666666666599</c:v>
                </c:pt>
                <c:pt idx="554">
                  <c:v>45370.666666666599</c:v>
                </c:pt>
                <c:pt idx="555">
                  <c:v>45371.666666666599</c:v>
                </c:pt>
                <c:pt idx="556">
                  <c:v>45372.666666666599</c:v>
                </c:pt>
                <c:pt idx="557">
                  <c:v>45373.666666666599</c:v>
                </c:pt>
                <c:pt idx="558">
                  <c:v>45376.666666666599</c:v>
                </c:pt>
                <c:pt idx="559">
                  <c:v>45377.666666666599</c:v>
                </c:pt>
                <c:pt idx="560">
                  <c:v>45378.666666666599</c:v>
                </c:pt>
                <c:pt idx="561">
                  <c:v>45379.666666666599</c:v>
                </c:pt>
                <c:pt idx="562">
                  <c:v>45383.666666666599</c:v>
                </c:pt>
                <c:pt idx="563">
                  <c:v>45384.666666666599</c:v>
                </c:pt>
                <c:pt idx="564">
                  <c:v>45385.666666666599</c:v>
                </c:pt>
                <c:pt idx="565">
                  <c:v>45386.666666666599</c:v>
                </c:pt>
                <c:pt idx="566">
                  <c:v>45387.666666666599</c:v>
                </c:pt>
                <c:pt idx="567">
                  <c:v>45390.666666666599</c:v>
                </c:pt>
                <c:pt idx="568">
                  <c:v>45391.666666666599</c:v>
                </c:pt>
                <c:pt idx="569">
                  <c:v>45392.666666666599</c:v>
                </c:pt>
                <c:pt idx="570">
                  <c:v>45393.666666666599</c:v>
                </c:pt>
                <c:pt idx="571">
                  <c:v>45394.666666666599</c:v>
                </c:pt>
                <c:pt idx="572">
                  <c:v>45397.666666666599</c:v>
                </c:pt>
                <c:pt idx="573">
                  <c:v>45398.666666666599</c:v>
                </c:pt>
                <c:pt idx="574">
                  <c:v>45399.666666666599</c:v>
                </c:pt>
                <c:pt idx="575">
                  <c:v>45400.666666666599</c:v>
                </c:pt>
                <c:pt idx="576">
                  <c:v>45401.666666666599</c:v>
                </c:pt>
                <c:pt idx="577">
                  <c:v>45404.666666666599</c:v>
                </c:pt>
                <c:pt idx="578">
                  <c:v>45405.666666666599</c:v>
                </c:pt>
                <c:pt idx="579">
                  <c:v>45406.666666666599</c:v>
                </c:pt>
                <c:pt idx="580">
                  <c:v>45407.666666666599</c:v>
                </c:pt>
                <c:pt idx="581">
                  <c:v>45408.666666666599</c:v>
                </c:pt>
                <c:pt idx="582">
                  <c:v>45411.666666666599</c:v>
                </c:pt>
                <c:pt idx="583">
                  <c:v>45412.666666666599</c:v>
                </c:pt>
                <c:pt idx="584">
                  <c:v>45413.666666666599</c:v>
                </c:pt>
                <c:pt idx="585">
                  <c:v>45414.666666666599</c:v>
                </c:pt>
                <c:pt idx="586">
                  <c:v>45415.666666666599</c:v>
                </c:pt>
                <c:pt idx="587">
                  <c:v>45418.666666666599</c:v>
                </c:pt>
                <c:pt idx="588">
                  <c:v>45419.666666666599</c:v>
                </c:pt>
                <c:pt idx="589">
                  <c:v>45420.666666666599</c:v>
                </c:pt>
                <c:pt idx="590">
                  <c:v>45421.666666666599</c:v>
                </c:pt>
                <c:pt idx="591">
                  <c:v>45422.666666666599</c:v>
                </c:pt>
                <c:pt idx="592">
                  <c:v>45425.666666666599</c:v>
                </c:pt>
                <c:pt idx="593">
                  <c:v>45426.666666666599</c:v>
                </c:pt>
                <c:pt idx="594">
                  <c:v>45427.666666666599</c:v>
                </c:pt>
                <c:pt idx="595">
                  <c:v>45428.666666666599</c:v>
                </c:pt>
                <c:pt idx="596">
                  <c:v>45429.666666666599</c:v>
                </c:pt>
                <c:pt idx="597">
                  <c:v>45432.666666666599</c:v>
                </c:pt>
                <c:pt idx="598">
                  <c:v>45433.666666666599</c:v>
                </c:pt>
                <c:pt idx="599">
                  <c:v>45434.666666666599</c:v>
                </c:pt>
                <c:pt idx="600">
                  <c:v>45435.666666666599</c:v>
                </c:pt>
                <c:pt idx="601">
                  <c:v>45436.666666666599</c:v>
                </c:pt>
                <c:pt idx="602">
                  <c:v>45440.666666666599</c:v>
                </c:pt>
                <c:pt idx="603">
                  <c:v>45441.666666666599</c:v>
                </c:pt>
                <c:pt idx="604">
                  <c:v>45442.666666666599</c:v>
                </c:pt>
                <c:pt idx="605">
                  <c:v>45443.666666666599</c:v>
                </c:pt>
                <c:pt idx="606">
                  <c:v>45446.666666666599</c:v>
                </c:pt>
                <c:pt idx="607">
                  <c:v>45447.666666666599</c:v>
                </c:pt>
                <c:pt idx="608">
                  <c:v>45448.666666666599</c:v>
                </c:pt>
                <c:pt idx="609">
                  <c:v>45449.666666666599</c:v>
                </c:pt>
                <c:pt idx="610">
                  <c:v>45450.666666666599</c:v>
                </c:pt>
                <c:pt idx="611">
                  <c:v>45453.666666666599</c:v>
                </c:pt>
                <c:pt idx="612">
                  <c:v>45454.666666666599</c:v>
                </c:pt>
                <c:pt idx="613">
                  <c:v>45455.666666666599</c:v>
                </c:pt>
                <c:pt idx="614">
                  <c:v>45456.666666666599</c:v>
                </c:pt>
                <c:pt idx="615">
                  <c:v>45457.666666666599</c:v>
                </c:pt>
                <c:pt idx="616">
                  <c:v>45460.666666666599</c:v>
                </c:pt>
                <c:pt idx="617">
                  <c:v>45461.666666666599</c:v>
                </c:pt>
                <c:pt idx="618">
                  <c:v>45463.666666666599</c:v>
                </c:pt>
                <c:pt idx="619">
                  <c:v>45464.666666666599</c:v>
                </c:pt>
                <c:pt idx="620">
                  <c:v>45467.666666666599</c:v>
                </c:pt>
                <c:pt idx="621">
                  <c:v>45468.666666666599</c:v>
                </c:pt>
                <c:pt idx="622">
                  <c:v>45469.666666666599</c:v>
                </c:pt>
                <c:pt idx="623">
                  <c:v>45470.666666666599</c:v>
                </c:pt>
                <c:pt idx="624">
                  <c:v>45471.666666666599</c:v>
                </c:pt>
                <c:pt idx="625">
                  <c:v>45474.666666666599</c:v>
                </c:pt>
                <c:pt idx="626">
                  <c:v>45475.666666666599</c:v>
                </c:pt>
                <c:pt idx="627">
                  <c:v>45476.541666666599</c:v>
                </c:pt>
                <c:pt idx="628">
                  <c:v>45478.666666666599</c:v>
                </c:pt>
                <c:pt idx="629">
                  <c:v>45481.666666666599</c:v>
                </c:pt>
                <c:pt idx="630">
                  <c:v>45482.666666666599</c:v>
                </c:pt>
                <c:pt idx="631">
                  <c:v>45483.666666666599</c:v>
                </c:pt>
                <c:pt idx="632">
                  <c:v>45484.666666666599</c:v>
                </c:pt>
                <c:pt idx="633">
                  <c:v>45485.666666666599</c:v>
                </c:pt>
                <c:pt idx="634">
                  <c:v>45488.666666666599</c:v>
                </c:pt>
                <c:pt idx="635">
                  <c:v>45489.666666666599</c:v>
                </c:pt>
                <c:pt idx="636">
                  <c:v>45490.666666666599</c:v>
                </c:pt>
                <c:pt idx="637">
                  <c:v>45491.666666666599</c:v>
                </c:pt>
                <c:pt idx="638">
                  <c:v>45492.666666666599</c:v>
                </c:pt>
                <c:pt idx="639">
                  <c:v>45495.666666666599</c:v>
                </c:pt>
                <c:pt idx="640">
                  <c:v>45496.666666666599</c:v>
                </c:pt>
                <c:pt idx="641">
                  <c:v>45497.666666666599</c:v>
                </c:pt>
                <c:pt idx="642">
                  <c:v>45498.666666666599</c:v>
                </c:pt>
                <c:pt idx="643">
                  <c:v>45499.666666666599</c:v>
                </c:pt>
                <c:pt idx="644">
                  <c:v>45502.666666666599</c:v>
                </c:pt>
                <c:pt idx="645">
                  <c:v>45503.666666666599</c:v>
                </c:pt>
                <c:pt idx="646">
                  <c:v>45504.666666666599</c:v>
                </c:pt>
                <c:pt idx="647">
                  <c:v>45505.666666666599</c:v>
                </c:pt>
                <c:pt idx="648">
                  <c:v>45506.666666666599</c:v>
                </c:pt>
                <c:pt idx="649">
                  <c:v>45509.666666666599</c:v>
                </c:pt>
                <c:pt idx="650">
                  <c:v>45510.666666666599</c:v>
                </c:pt>
                <c:pt idx="651">
                  <c:v>45511.666666666599</c:v>
                </c:pt>
                <c:pt idx="652">
                  <c:v>45512.666666666599</c:v>
                </c:pt>
                <c:pt idx="653">
                  <c:v>45513.666666666599</c:v>
                </c:pt>
                <c:pt idx="654">
                  <c:v>45516.666666666599</c:v>
                </c:pt>
                <c:pt idx="655">
                  <c:v>45517.666666666599</c:v>
                </c:pt>
                <c:pt idx="656">
                  <c:v>45518.666666666599</c:v>
                </c:pt>
                <c:pt idx="657">
                  <c:v>45519.666666666599</c:v>
                </c:pt>
                <c:pt idx="658">
                  <c:v>45520.666666666599</c:v>
                </c:pt>
                <c:pt idx="659">
                  <c:v>45523.666666666599</c:v>
                </c:pt>
                <c:pt idx="660">
                  <c:v>45524.666666666599</c:v>
                </c:pt>
                <c:pt idx="661">
                  <c:v>45525.666666666599</c:v>
                </c:pt>
                <c:pt idx="662">
                  <c:v>45526.666666666599</c:v>
                </c:pt>
                <c:pt idx="663">
                  <c:v>45527.666666666599</c:v>
                </c:pt>
                <c:pt idx="664">
                  <c:v>45530.666666666599</c:v>
                </c:pt>
                <c:pt idx="665">
                  <c:v>45531.666666666599</c:v>
                </c:pt>
                <c:pt idx="666">
                  <c:v>45532.666666666599</c:v>
                </c:pt>
                <c:pt idx="667">
                  <c:v>45533.666666666599</c:v>
                </c:pt>
                <c:pt idx="668">
                  <c:v>45534.666666666599</c:v>
                </c:pt>
                <c:pt idx="669">
                  <c:v>45538.666666666599</c:v>
                </c:pt>
                <c:pt idx="670">
                  <c:v>45539.666666666599</c:v>
                </c:pt>
                <c:pt idx="671">
                  <c:v>45540.666666666599</c:v>
                </c:pt>
                <c:pt idx="672">
                  <c:v>45541.666666666599</c:v>
                </c:pt>
                <c:pt idx="673">
                  <c:v>45544.666666666599</c:v>
                </c:pt>
                <c:pt idx="674">
                  <c:v>45545.666666666599</c:v>
                </c:pt>
                <c:pt idx="675">
                  <c:v>45546.666666666599</c:v>
                </c:pt>
                <c:pt idx="676">
                  <c:v>45547.666666666599</c:v>
                </c:pt>
                <c:pt idx="677">
                  <c:v>45548.666666666599</c:v>
                </c:pt>
                <c:pt idx="678">
                  <c:v>45551.666666666599</c:v>
                </c:pt>
                <c:pt idx="679">
                  <c:v>45552.666666666599</c:v>
                </c:pt>
                <c:pt idx="680">
                  <c:v>45553.666666666599</c:v>
                </c:pt>
                <c:pt idx="681">
                  <c:v>45554.666666666599</c:v>
                </c:pt>
                <c:pt idx="682">
                  <c:v>45555.666666666599</c:v>
                </c:pt>
                <c:pt idx="683">
                  <c:v>45558.666666666599</c:v>
                </c:pt>
                <c:pt idx="684">
                  <c:v>45559.666666666599</c:v>
                </c:pt>
                <c:pt idx="685">
                  <c:v>45560.666666666599</c:v>
                </c:pt>
                <c:pt idx="686">
                  <c:v>45561.666666666599</c:v>
                </c:pt>
                <c:pt idx="687">
                  <c:v>45562.666666666599</c:v>
                </c:pt>
                <c:pt idx="688">
                  <c:v>45565.666666666599</c:v>
                </c:pt>
                <c:pt idx="689">
                  <c:v>45566.666666666599</c:v>
                </c:pt>
                <c:pt idx="690">
                  <c:v>45567.666666666599</c:v>
                </c:pt>
                <c:pt idx="691">
                  <c:v>45568.666666666599</c:v>
                </c:pt>
                <c:pt idx="692">
                  <c:v>45569.666666666599</c:v>
                </c:pt>
                <c:pt idx="693">
                  <c:v>45572.666666666599</c:v>
                </c:pt>
                <c:pt idx="694">
                  <c:v>45573.666666666599</c:v>
                </c:pt>
                <c:pt idx="695">
                  <c:v>45574.666666666599</c:v>
                </c:pt>
                <c:pt idx="696">
                  <c:v>45575.666666666599</c:v>
                </c:pt>
                <c:pt idx="697">
                  <c:v>45576.666666666599</c:v>
                </c:pt>
                <c:pt idx="698">
                  <c:v>45579.666666666599</c:v>
                </c:pt>
                <c:pt idx="699">
                  <c:v>45580.666666666599</c:v>
                </c:pt>
                <c:pt idx="700">
                  <c:v>45581.666666666599</c:v>
                </c:pt>
                <c:pt idx="701">
                  <c:v>45582.666666666599</c:v>
                </c:pt>
                <c:pt idx="702">
                  <c:v>45583.666666666599</c:v>
                </c:pt>
                <c:pt idx="703">
                  <c:v>45586.666666666599</c:v>
                </c:pt>
                <c:pt idx="704">
                  <c:v>45587.666666666599</c:v>
                </c:pt>
                <c:pt idx="705">
                  <c:v>45588.666666666599</c:v>
                </c:pt>
                <c:pt idx="706">
                  <c:v>45589.666666666599</c:v>
                </c:pt>
                <c:pt idx="707">
                  <c:v>45590.666666666599</c:v>
                </c:pt>
                <c:pt idx="708">
                  <c:v>45593.666666666599</c:v>
                </c:pt>
                <c:pt idx="709">
                  <c:v>45594.666666666599</c:v>
                </c:pt>
                <c:pt idx="710">
                  <c:v>45595.666666666599</c:v>
                </c:pt>
                <c:pt idx="711">
                  <c:v>45596.666666666599</c:v>
                </c:pt>
                <c:pt idx="712">
                  <c:v>45597.666666666599</c:v>
                </c:pt>
                <c:pt idx="713">
                  <c:v>45600.666666666599</c:v>
                </c:pt>
                <c:pt idx="714">
                  <c:v>45601.666666666599</c:v>
                </c:pt>
                <c:pt idx="715">
                  <c:v>45602.666666666599</c:v>
                </c:pt>
                <c:pt idx="716">
                  <c:v>45603.666666666599</c:v>
                </c:pt>
                <c:pt idx="717">
                  <c:v>45604.666666666599</c:v>
                </c:pt>
                <c:pt idx="718">
                  <c:v>45607.666666666599</c:v>
                </c:pt>
                <c:pt idx="719">
                  <c:v>45608.666666666599</c:v>
                </c:pt>
                <c:pt idx="720">
                  <c:v>45609.666666666599</c:v>
                </c:pt>
                <c:pt idx="721">
                  <c:v>45610.666666666599</c:v>
                </c:pt>
                <c:pt idx="722">
                  <c:v>45611.666666666599</c:v>
                </c:pt>
                <c:pt idx="723">
                  <c:v>45614.666666666599</c:v>
                </c:pt>
                <c:pt idx="724">
                  <c:v>45615.666666666599</c:v>
                </c:pt>
                <c:pt idx="725">
                  <c:v>45616.666666666599</c:v>
                </c:pt>
                <c:pt idx="726">
                  <c:v>45617.666666666599</c:v>
                </c:pt>
                <c:pt idx="727">
                  <c:v>45618.666666666599</c:v>
                </c:pt>
                <c:pt idx="728">
                  <c:v>45621.666666666599</c:v>
                </c:pt>
                <c:pt idx="729">
                  <c:v>45622.666666666599</c:v>
                </c:pt>
                <c:pt idx="730">
                  <c:v>45623.666666666599</c:v>
                </c:pt>
                <c:pt idx="731">
                  <c:v>45625.541666666599</c:v>
                </c:pt>
                <c:pt idx="732">
                  <c:v>45628.666666666599</c:v>
                </c:pt>
                <c:pt idx="733">
                  <c:v>45629.666666666599</c:v>
                </c:pt>
                <c:pt idx="734">
                  <c:v>45630.666666666599</c:v>
                </c:pt>
                <c:pt idx="735">
                  <c:v>45631.666666666599</c:v>
                </c:pt>
                <c:pt idx="736">
                  <c:v>45632.666666666599</c:v>
                </c:pt>
                <c:pt idx="737">
                  <c:v>45635.666666666599</c:v>
                </c:pt>
                <c:pt idx="738">
                  <c:v>45636.666666666599</c:v>
                </c:pt>
                <c:pt idx="739">
                  <c:v>45637.666666666599</c:v>
                </c:pt>
                <c:pt idx="740">
                  <c:v>45638.666666666599</c:v>
                </c:pt>
                <c:pt idx="741">
                  <c:v>45639.666666666599</c:v>
                </c:pt>
                <c:pt idx="742">
                  <c:v>45642.666666666599</c:v>
                </c:pt>
                <c:pt idx="743">
                  <c:v>45643.666666666599</c:v>
                </c:pt>
                <c:pt idx="744">
                  <c:v>45644.666666666599</c:v>
                </c:pt>
                <c:pt idx="745">
                  <c:v>45645.666666666599</c:v>
                </c:pt>
                <c:pt idx="746">
                  <c:v>45646.666666666599</c:v>
                </c:pt>
                <c:pt idx="747">
                  <c:v>45649.666666666599</c:v>
                </c:pt>
                <c:pt idx="748">
                  <c:v>45650.541666666599</c:v>
                </c:pt>
                <c:pt idx="749">
                  <c:v>45652.666666666599</c:v>
                </c:pt>
                <c:pt idx="750">
                  <c:v>45653.666666666599</c:v>
                </c:pt>
                <c:pt idx="751">
                  <c:v>45656.666666666599</c:v>
                </c:pt>
                <c:pt idx="752">
                  <c:v>45657.666666666599</c:v>
                </c:pt>
              </c:numCache>
            </c:numRef>
          </c:cat>
          <c:val>
            <c:numRef>
              <c:f>Sheet1!$C$6:$C$758</c:f>
              <c:numCache>
                <c:formatCode>General</c:formatCode>
                <c:ptCount val="753"/>
                <c:pt idx="0">
                  <c:v>161.69999999999999</c:v>
                </c:pt>
                <c:pt idx="1">
                  <c:v>167.83</c:v>
                </c:pt>
                <c:pt idx="2">
                  <c:v>163.78</c:v>
                </c:pt>
                <c:pt idx="3">
                  <c:v>165.52</c:v>
                </c:pt>
                <c:pt idx="4">
                  <c:v>167.16</c:v>
                </c:pt>
                <c:pt idx="5">
                  <c:v>167.32</c:v>
                </c:pt>
                <c:pt idx="6">
                  <c:v>167.49</c:v>
                </c:pt>
                <c:pt idx="7">
                  <c:v>168.44</c:v>
                </c:pt>
                <c:pt idx="8">
                  <c:v>168.23</c:v>
                </c:pt>
                <c:pt idx="9">
                  <c:v>157.88999999999999</c:v>
                </c:pt>
                <c:pt idx="10">
                  <c:v>151.27000000000001</c:v>
                </c:pt>
                <c:pt idx="11">
                  <c:v>148.93</c:v>
                </c:pt>
                <c:pt idx="12">
                  <c:v>147.66</c:v>
                </c:pt>
                <c:pt idx="13">
                  <c:v>145.08000000000001</c:v>
                </c:pt>
                <c:pt idx="14">
                  <c:v>144.94999999999999</c:v>
                </c:pt>
                <c:pt idx="15">
                  <c:v>146.53</c:v>
                </c:pt>
                <c:pt idx="16">
                  <c:v>147.91999999999999</c:v>
                </c:pt>
                <c:pt idx="17">
                  <c:v>145.31</c:v>
                </c:pt>
                <c:pt idx="18">
                  <c:v>146.61000000000001</c:v>
                </c:pt>
                <c:pt idx="19">
                  <c:v>148.6</c:v>
                </c:pt>
                <c:pt idx="20">
                  <c:v>151.15</c:v>
                </c:pt>
                <c:pt idx="21">
                  <c:v>149.94</c:v>
                </c:pt>
                <c:pt idx="22">
                  <c:v>148.69999999999999</c:v>
                </c:pt>
                <c:pt idx="23">
                  <c:v>152.56</c:v>
                </c:pt>
                <c:pt idx="24">
                  <c:v>153.07</c:v>
                </c:pt>
                <c:pt idx="25">
                  <c:v>155.94999999999999</c:v>
                </c:pt>
                <c:pt idx="26">
                  <c:v>156.6</c:v>
                </c:pt>
                <c:pt idx="27">
                  <c:v>155.94999999999999</c:v>
                </c:pt>
                <c:pt idx="28">
                  <c:v>153.91999999999999</c:v>
                </c:pt>
                <c:pt idx="29">
                  <c:v>152.49</c:v>
                </c:pt>
                <c:pt idx="30">
                  <c:v>154.72</c:v>
                </c:pt>
                <c:pt idx="31">
                  <c:v>155</c:v>
                </c:pt>
                <c:pt idx="32">
                  <c:v>151.43</c:v>
                </c:pt>
                <c:pt idx="33">
                  <c:v>152.13999999999999</c:v>
                </c:pt>
                <c:pt idx="34">
                  <c:v>151.87</c:v>
                </c:pt>
                <c:pt idx="35">
                  <c:v>148.69</c:v>
                </c:pt>
                <c:pt idx="36">
                  <c:v>144.55000000000001</c:v>
                </c:pt>
                <c:pt idx="37">
                  <c:v>147.97</c:v>
                </c:pt>
                <c:pt idx="38">
                  <c:v>141.80000000000001</c:v>
                </c:pt>
                <c:pt idx="39">
                  <c:v>136.44999999999999</c:v>
                </c:pt>
                <c:pt idx="40">
                  <c:v>139.28</c:v>
                </c:pt>
                <c:pt idx="41">
                  <c:v>138.29</c:v>
                </c:pt>
                <c:pt idx="42">
                  <c:v>134.4</c:v>
                </c:pt>
                <c:pt idx="43">
                  <c:v>129.21</c:v>
                </c:pt>
                <c:pt idx="44">
                  <c:v>128.30000000000001</c:v>
                </c:pt>
                <c:pt idx="45">
                  <c:v>133.44</c:v>
                </c:pt>
                <c:pt idx="46">
                  <c:v>131.86000000000001</c:v>
                </c:pt>
                <c:pt idx="47">
                  <c:v>128.88999999999999</c:v>
                </c:pt>
                <c:pt idx="48">
                  <c:v>130.16999999999999</c:v>
                </c:pt>
                <c:pt idx="49">
                  <c:v>132.47999999999999</c:v>
                </c:pt>
                <c:pt idx="50">
                  <c:v>138.4</c:v>
                </c:pt>
                <c:pt idx="51">
                  <c:v>140.15</c:v>
                </c:pt>
                <c:pt idx="52">
                  <c:v>140.1</c:v>
                </c:pt>
                <c:pt idx="53">
                  <c:v>139.65</c:v>
                </c:pt>
                <c:pt idx="54">
                  <c:v>142.62</c:v>
                </c:pt>
                <c:pt idx="55">
                  <c:v>139.78</c:v>
                </c:pt>
                <c:pt idx="56">
                  <c:v>140.69</c:v>
                </c:pt>
                <c:pt idx="57">
                  <c:v>141.91999999999999</c:v>
                </c:pt>
                <c:pt idx="58">
                  <c:v>140.87</c:v>
                </c:pt>
                <c:pt idx="59">
                  <c:v>141.18</c:v>
                </c:pt>
                <c:pt idx="60">
                  <c:v>140.54</c:v>
                </c:pt>
                <c:pt idx="61">
                  <c:v>136.32</c:v>
                </c:pt>
                <c:pt idx="62">
                  <c:v>135.31</c:v>
                </c:pt>
                <c:pt idx="63">
                  <c:v>135.91</c:v>
                </c:pt>
                <c:pt idx="64">
                  <c:v>133.34</c:v>
                </c:pt>
                <c:pt idx="65">
                  <c:v>131.49</c:v>
                </c:pt>
                <c:pt idx="66">
                  <c:v>131.09</c:v>
                </c:pt>
                <c:pt idx="67">
                  <c:v>133.49</c:v>
                </c:pt>
                <c:pt idx="68">
                  <c:v>133</c:v>
                </c:pt>
                <c:pt idx="69">
                  <c:v>131.54</c:v>
                </c:pt>
                <c:pt idx="70">
                  <c:v>127.3</c:v>
                </c:pt>
                <c:pt idx="71">
                  <c:v>126.12</c:v>
                </c:pt>
                <c:pt idx="72">
                  <c:v>128.46</c:v>
                </c:pt>
                <c:pt idx="73">
                  <c:v>131.12</c:v>
                </c:pt>
                <c:pt idx="74">
                  <c:v>131.58000000000001</c:v>
                </c:pt>
                <c:pt idx="75">
                  <c:v>130.56</c:v>
                </c:pt>
                <c:pt idx="76">
                  <c:v>126.81</c:v>
                </c:pt>
                <c:pt idx="77">
                  <c:v>126.77</c:v>
                </c:pt>
                <c:pt idx="78">
                  <c:v>123.02</c:v>
                </c:pt>
                <c:pt idx="79">
                  <c:v>121.42</c:v>
                </c:pt>
                <c:pt idx="80">
                  <c:v>123.34</c:v>
                </c:pt>
                <c:pt idx="81">
                  <c:v>119.36</c:v>
                </c:pt>
                <c:pt idx="82">
                  <c:v>120.45</c:v>
                </c:pt>
                <c:pt idx="83">
                  <c:v>123.03</c:v>
                </c:pt>
                <c:pt idx="84">
                  <c:v>127.1</c:v>
                </c:pt>
                <c:pt idx="85">
                  <c:v>123.92</c:v>
                </c:pt>
                <c:pt idx="86">
                  <c:v>123.72</c:v>
                </c:pt>
                <c:pt idx="87">
                  <c:v>121.86</c:v>
                </c:pt>
                <c:pt idx="88">
                  <c:v>118.89</c:v>
                </c:pt>
                <c:pt idx="89">
                  <c:v>118.14</c:v>
                </c:pt>
                <c:pt idx="90">
                  <c:v>118.04</c:v>
                </c:pt>
                <c:pt idx="91">
                  <c:v>119.09</c:v>
                </c:pt>
                <c:pt idx="92">
                  <c:v>118.26</c:v>
                </c:pt>
                <c:pt idx="93">
                  <c:v>122.18</c:v>
                </c:pt>
                <c:pt idx="94">
                  <c:v>120.09</c:v>
                </c:pt>
                <c:pt idx="95">
                  <c:v>118.31</c:v>
                </c:pt>
                <c:pt idx="96">
                  <c:v>117.34</c:v>
                </c:pt>
                <c:pt idx="97">
                  <c:v>124.6</c:v>
                </c:pt>
                <c:pt idx="98">
                  <c:v>126.36</c:v>
                </c:pt>
                <c:pt idx="99">
                  <c:v>127.24</c:v>
                </c:pt>
                <c:pt idx="100">
                  <c:v>129.44</c:v>
                </c:pt>
                <c:pt idx="101">
                  <c:v>131.27000000000001</c:v>
                </c:pt>
                <c:pt idx="102">
                  <c:v>132.22999999999999</c:v>
                </c:pt>
                <c:pt idx="103">
                  <c:v>129.91</c:v>
                </c:pt>
                <c:pt idx="104">
                  <c:v>132</c:v>
                </c:pt>
                <c:pt idx="105">
                  <c:v>130.16</c:v>
                </c:pt>
                <c:pt idx="106">
                  <c:v>129.72999999999999</c:v>
                </c:pt>
                <c:pt idx="107">
                  <c:v>130.07</c:v>
                </c:pt>
                <c:pt idx="108">
                  <c:v>128</c:v>
                </c:pt>
                <c:pt idx="109">
                  <c:v>125.31</c:v>
                </c:pt>
                <c:pt idx="110">
                  <c:v>119.55</c:v>
                </c:pt>
                <c:pt idx="111">
                  <c:v>115.99</c:v>
                </c:pt>
                <c:pt idx="112">
                  <c:v>114.06</c:v>
                </c:pt>
                <c:pt idx="113">
                  <c:v>115.41</c:v>
                </c:pt>
                <c:pt idx="114">
                  <c:v>113.43</c:v>
                </c:pt>
                <c:pt idx="115">
                  <c:v>113.03</c:v>
                </c:pt>
                <c:pt idx="116">
                  <c:v>115.83</c:v>
                </c:pt>
                <c:pt idx="117">
                  <c:v>115.18</c:v>
                </c:pt>
                <c:pt idx="118">
                  <c:v>113.92</c:v>
                </c:pt>
                <c:pt idx="119">
                  <c:v>117.32</c:v>
                </c:pt>
                <c:pt idx="120">
                  <c:v>116.38</c:v>
                </c:pt>
                <c:pt idx="121">
                  <c:v>115.82</c:v>
                </c:pt>
                <c:pt idx="122">
                  <c:v>115.3</c:v>
                </c:pt>
                <c:pt idx="123">
                  <c:v>112.61</c:v>
                </c:pt>
                <c:pt idx="124">
                  <c:v>114.05</c:v>
                </c:pt>
                <c:pt idx="125">
                  <c:v>112.62</c:v>
                </c:pt>
                <c:pt idx="126">
                  <c:v>111.89</c:v>
                </c:pt>
                <c:pt idx="127">
                  <c:v>114.72</c:v>
                </c:pt>
                <c:pt idx="128">
                  <c:v>114.36</c:v>
                </c:pt>
                <c:pt idx="129">
                  <c:v>112.86</c:v>
                </c:pt>
                <c:pt idx="130">
                  <c:v>112.97</c:v>
                </c:pt>
                <c:pt idx="131">
                  <c:v>111.91</c:v>
                </c:pt>
                <c:pt idx="132">
                  <c:v>108</c:v>
                </c:pt>
                <c:pt idx="133">
                  <c:v>112.95</c:v>
                </c:pt>
                <c:pt idx="134">
                  <c:v>111.79</c:v>
                </c:pt>
                <c:pt idx="135">
                  <c:v>114.56</c:v>
                </c:pt>
                <c:pt idx="136">
                  <c:v>114.54</c:v>
                </c:pt>
                <c:pt idx="137">
                  <c:v>115.32</c:v>
                </c:pt>
                <c:pt idx="138">
                  <c:v>114.76</c:v>
                </c:pt>
                <c:pt idx="139">
                  <c:v>115.22</c:v>
                </c:pt>
                <c:pt idx="140">
                  <c:v>113.42</c:v>
                </c:pt>
                <c:pt idx="141">
                  <c:v>115.24</c:v>
                </c:pt>
                <c:pt idx="142">
                  <c:v>114.81</c:v>
                </c:pt>
                <c:pt idx="143">
                  <c:v>115.36</c:v>
                </c:pt>
                <c:pt idx="144">
                  <c:v>114.21</c:v>
                </c:pt>
                <c:pt idx="145">
                  <c:v>112.43</c:v>
                </c:pt>
                <c:pt idx="146">
                  <c:v>113.61</c:v>
                </c:pt>
                <c:pt idx="147">
                  <c:v>112.36</c:v>
                </c:pt>
                <c:pt idx="148">
                  <c:v>115.76</c:v>
                </c:pt>
                <c:pt idx="149">
                  <c:v>114.35</c:v>
                </c:pt>
                <c:pt idx="150">
                  <c:v>115.38</c:v>
                </c:pt>
                <c:pt idx="151">
                  <c:v>118.39</c:v>
                </c:pt>
                <c:pt idx="152">
                  <c:v>120.14</c:v>
                </c:pt>
                <c:pt idx="153">
                  <c:v>122.13</c:v>
                </c:pt>
                <c:pt idx="154">
                  <c:v>122.46</c:v>
                </c:pt>
                <c:pt idx="155">
                  <c:v>123.63</c:v>
                </c:pt>
                <c:pt idx="156">
                  <c:v>122.59</c:v>
                </c:pt>
                <c:pt idx="157">
                  <c:v>121.64</c:v>
                </c:pt>
                <c:pt idx="158">
                  <c:v>118.63</c:v>
                </c:pt>
                <c:pt idx="159">
                  <c:v>116.67</c:v>
                </c:pt>
                <c:pt idx="160">
                  <c:v>115.52</c:v>
                </c:pt>
                <c:pt idx="161">
                  <c:v>115.8</c:v>
                </c:pt>
                <c:pt idx="162">
                  <c:v>118.55</c:v>
                </c:pt>
                <c:pt idx="163">
                  <c:v>114.67</c:v>
                </c:pt>
                <c:pt idx="164">
                  <c:v>114.39</c:v>
                </c:pt>
                <c:pt idx="165">
                  <c:v>114.41</c:v>
                </c:pt>
                <c:pt idx="166">
                  <c:v>113.73</c:v>
                </c:pt>
                <c:pt idx="167">
                  <c:v>114.51</c:v>
                </c:pt>
                <c:pt idx="168">
                  <c:v>113.71</c:v>
                </c:pt>
                <c:pt idx="169">
                  <c:v>113.74</c:v>
                </c:pt>
                <c:pt idx="170">
                  <c:v>115.9</c:v>
                </c:pt>
                <c:pt idx="171">
                  <c:v>118.6</c:v>
                </c:pt>
                <c:pt idx="172">
                  <c:v>119.17</c:v>
                </c:pt>
                <c:pt idx="173">
                  <c:v>120.58</c:v>
                </c:pt>
                <c:pt idx="174">
                  <c:v>116.39</c:v>
                </c:pt>
                <c:pt idx="175">
                  <c:v>116.12</c:v>
                </c:pt>
                <c:pt idx="176">
                  <c:v>117.87</c:v>
                </c:pt>
                <c:pt idx="177">
                  <c:v>117.08</c:v>
                </c:pt>
                <c:pt idx="178">
                  <c:v>118.16</c:v>
                </c:pt>
                <c:pt idx="179">
                  <c:v>115.83</c:v>
                </c:pt>
                <c:pt idx="180">
                  <c:v>112.49</c:v>
                </c:pt>
                <c:pt idx="181">
                  <c:v>111.21</c:v>
                </c:pt>
                <c:pt idx="182">
                  <c:v>109.14</c:v>
                </c:pt>
                <c:pt idx="183">
                  <c:v>106.79</c:v>
                </c:pt>
                <c:pt idx="184">
                  <c:v>105.85</c:v>
                </c:pt>
                <c:pt idx="185">
                  <c:v>107.99</c:v>
                </c:pt>
                <c:pt idx="186">
                  <c:v>106.16</c:v>
                </c:pt>
                <c:pt idx="187">
                  <c:v>104.5</c:v>
                </c:pt>
                <c:pt idx="188">
                  <c:v>107.73</c:v>
                </c:pt>
                <c:pt idx="189">
                  <c:v>112.77</c:v>
                </c:pt>
                <c:pt idx="190">
                  <c:v>110.39</c:v>
                </c:pt>
                <c:pt idx="191">
                  <c:v>108.14</c:v>
                </c:pt>
                <c:pt idx="192">
                  <c:v>105.98</c:v>
                </c:pt>
                <c:pt idx="193">
                  <c:v>104.99</c:v>
                </c:pt>
                <c:pt idx="194">
                  <c:v>101.96</c:v>
                </c:pt>
                <c:pt idx="195">
                  <c:v>103.61</c:v>
                </c:pt>
                <c:pt idx="196">
                  <c:v>109.37</c:v>
                </c:pt>
                <c:pt idx="197">
                  <c:v>111.19</c:v>
                </c:pt>
                <c:pt idx="198">
                  <c:v>115.86</c:v>
                </c:pt>
                <c:pt idx="199">
                  <c:v>118.84</c:v>
                </c:pt>
                <c:pt idx="200">
                  <c:v>116.51</c:v>
                </c:pt>
                <c:pt idx="201">
                  <c:v>116.13</c:v>
                </c:pt>
                <c:pt idx="202">
                  <c:v>122.23</c:v>
                </c:pt>
                <c:pt idx="203">
                  <c:v>122.38</c:v>
                </c:pt>
                <c:pt idx="204">
                  <c:v>122.7</c:v>
                </c:pt>
                <c:pt idx="205">
                  <c:v>124.11</c:v>
                </c:pt>
                <c:pt idx="206">
                  <c:v>124.6</c:v>
                </c:pt>
                <c:pt idx="207">
                  <c:v>126.08</c:v>
                </c:pt>
                <c:pt idx="208">
                  <c:v>125.88</c:v>
                </c:pt>
                <c:pt idx="209">
                  <c:v>128.15</c:v>
                </c:pt>
                <c:pt idx="210">
                  <c:v>126.97</c:v>
                </c:pt>
                <c:pt idx="211">
                  <c:v>127.2</c:v>
                </c:pt>
                <c:pt idx="212">
                  <c:v>130.68</c:v>
                </c:pt>
                <c:pt idx="213">
                  <c:v>131.37</c:v>
                </c:pt>
                <c:pt idx="214">
                  <c:v>131.44999999999999</c:v>
                </c:pt>
                <c:pt idx="215">
                  <c:v>129.74</c:v>
                </c:pt>
                <c:pt idx="216">
                  <c:v>135.08000000000001</c:v>
                </c:pt>
                <c:pt idx="217">
                  <c:v>135.30000000000001</c:v>
                </c:pt>
                <c:pt idx="218">
                  <c:v>133.91</c:v>
                </c:pt>
                <c:pt idx="219">
                  <c:v>132.94</c:v>
                </c:pt>
                <c:pt idx="220">
                  <c:v>133.12</c:v>
                </c:pt>
                <c:pt idx="221">
                  <c:v>132.54</c:v>
                </c:pt>
                <c:pt idx="222">
                  <c:v>133.84</c:v>
                </c:pt>
                <c:pt idx="223">
                  <c:v>133.05000000000001</c:v>
                </c:pt>
                <c:pt idx="224">
                  <c:v>135.04</c:v>
                </c:pt>
                <c:pt idx="225">
                  <c:v>136.47999999999999</c:v>
                </c:pt>
                <c:pt idx="226">
                  <c:v>136.74</c:v>
                </c:pt>
                <c:pt idx="227">
                  <c:v>134.35</c:v>
                </c:pt>
                <c:pt idx="228">
                  <c:v>136.56</c:v>
                </c:pt>
                <c:pt idx="229">
                  <c:v>138.18</c:v>
                </c:pt>
                <c:pt idx="230">
                  <c:v>136.24</c:v>
                </c:pt>
                <c:pt idx="231">
                  <c:v>135.16</c:v>
                </c:pt>
                <c:pt idx="232">
                  <c:v>131.37</c:v>
                </c:pt>
                <c:pt idx="233">
                  <c:v>131.59</c:v>
                </c:pt>
                <c:pt idx="234">
                  <c:v>131.5</c:v>
                </c:pt>
                <c:pt idx="235">
                  <c:v>132.88</c:v>
                </c:pt>
                <c:pt idx="236">
                  <c:v>132.16</c:v>
                </c:pt>
                <c:pt idx="237">
                  <c:v>134.21</c:v>
                </c:pt>
                <c:pt idx="238">
                  <c:v>134.08000000000001</c:v>
                </c:pt>
                <c:pt idx="239">
                  <c:v>133.41</c:v>
                </c:pt>
                <c:pt idx="240">
                  <c:v>130.1</c:v>
                </c:pt>
                <c:pt idx="241">
                  <c:v>129.29</c:v>
                </c:pt>
                <c:pt idx="242">
                  <c:v>130.06</c:v>
                </c:pt>
                <c:pt idx="243">
                  <c:v>130.69</c:v>
                </c:pt>
                <c:pt idx="244">
                  <c:v>132.16</c:v>
                </c:pt>
                <c:pt idx="245">
                  <c:v>130.66</c:v>
                </c:pt>
                <c:pt idx="246">
                  <c:v>131.28</c:v>
                </c:pt>
                <c:pt idx="247">
                  <c:v>131.74</c:v>
                </c:pt>
                <c:pt idx="248">
                  <c:v>132.46</c:v>
                </c:pt>
                <c:pt idx="249">
                  <c:v>133.22</c:v>
                </c:pt>
                <c:pt idx="250">
                  <c:v>134.1</c:v>
                </c:pt>
                <c:pt idx="251">
                  <c:v>135.12</c:v>
                </c:pt>
                <c:pt idx="252">
                  <c:v>136.38</c:v>
                </c:pt>
                <c:pt idx="253">
                  <c:v>135.35</c:v>
                </c:pt>
                <c:pt idx="254">
                  <c:v>137.94</c:v>
                </c:pt>
                <c:pt idx="255">
                  <c:v>137.37</c:v>
                </c:pt>
                <c:pt idx="256">
                  <c:v>138.6</c:v>
                </c:pt>
                <c:pt idx="257">
                  <c:v>139.63</c:v>
                </c:pt>
                <c:pt idx="258">
                  <c:v>139.49</c:v>
                </c:pt>
                <c:pt idx="259">
                  <c:v>143.01</c:v>
                </c:pt>
                <c:pt idx="260">
                  <c:v>140.80000000000001</c:v>
                </c:pt>
                <c:pt idx="261">
                  <c:v>136.57</c:v>
                </c:pt>
                <c:pt idx="262">
                  <c:v>134.75</c:v>
                </c:pt>
                <c:pt idx="263">
                  <c:v>135.08000000000001</c:v>
                </c:pt>
                <c:pt idx="264">
                  <c:v>137.27000000000001</c:v>
                </c:pt>
                <c:pt idx="265">
                  <c:v>138.44999999999999</c:v>
                </c:pt>
                <c:pt idx="266">
                  <c:v>139.12</c:v>
                </c:pt>
                <c:pt idx="267">
                  <c:v>139.97999999999999</c:v>
                </c:pt>
                <c:pt idx="268">
                  <c:v>140.32</c:v>
                </c:pt>
                <c:pt idx="269">
                  <c:v>139.13</c:v>
                </c:pt>
                <c:pt idx="270">
                  <c:v>139.96</c:v>
                </c:pt>
                <c:pt idx="271">
                  <c:v>139.59</c:v>
                </c:pt>
                <c:pt idx="272">
                  <c:v>138.94</c:v>
                </c:pt>
                <c:pt idx="273">
                  <c:v>141.09</c:v>
                </c:pt>
                <c:pt idx="274">
                  <c:v>141.91999999999999</c:v>
                </c:pt>
                <c:pt idx="275">
                  <c:v>143.65</c:v>
                </c:pt>
                <c:pt idx="276">
                  <c:v>142.63999999999999</c:v>
                </c:pt>
                <c:pt idx="277">
                  <c:v>140.41999999999999</c:v>
                </c:pt>
                <c:pt idx="278">
                  <c:v>141.04</c:v>
                </c:pt>
                <c:pt idx="279">
                  <c:v>142.57</c:v>
                </c:pt>
                <c:pt idx="280">
                  <c:v>143.19999999999999</c:v>
                </c:pt>
                <c:pt idx="281">
                  <c:v>143.80000000000001</c:v>
                </c:pt>
                <c:pt idx="282">
                  <c:v>141.82</c:v>
                </c:pt>
                <c:pt idx="283">
                  <c:v>142.24</c:v>
                </c:pt>
                <c:pt idx="284">
                  <c:v>139.63</c:v>
                </c:pt>
                <c:pt idx="285">
                  <c:v>138.56</c:v>
                </c:pt>
                <c:pt idx="286">
                  <c:v>139.66999999999999</c:v>
                </c:pt>
                <c:pt idx="287">
                  <c:v>140.93</c:v>
                </c:pt>
                <c:pt idx="288">
                  <c:v>142.16</c:v>
                </c:pt>
                <c:pt idx="289">
                  <c:v>143.35</c:v>
                </c:pt>
                <c:pt idx="290">
                  <c:v>142.55000000000001</c:v>
                </c:pt>
                <c:pt idx="291">
                  <c:v>141.07</c:v>
                </c:pt>
                <c:pt idx="292">
                  <c:v>143.66</c:v>
                </c:pt>
                <c:pt idx="293">
                  <c:v>142.82</c:v>
                </c:pt>
                <c:pt idx="294">
                  <c:v>138.62</c:v>
                </c:pt>
                <c:pt idx="295">
                  <c:v>137.80000000000001</c:v>
                </c:pt>
                <c:pt idx="296">
                  <c:v>130.34</c:v>
                </c:pt>
                <c:pt idx="297">
                  <c:v>133.65</c:v>
                </c:pt>
                <c:pt idx="298">
                  <c:v>131.25</c:v>
                </c:pt>
                <c:pt idx="299">
                  <c:v>134.62</c:v>
                </c:pt>
                <c:pt idx="300">
                  <c:v>128.26</c:v>
                </c:pt>
                <c:pt idx="301">
                  <c:v>130.75</c:v>
                </c:pt>
                <c:pt idx="302">
                  <c:v>125.81</c:v>
                </c:pt>
                <c:pt idx="303">
                  <c:v>127.14</c:v>
                </c:pt>
                <c:pt idx="304">
                  <c:v>130.55000000000001</c:v>
                </c:pt>
                <c:pt idx="305">
                  <c:v>127.18</c:v>
                </c:pt>
                <c:pt idx="306">
                  <c:v>126.84</c:v>
                </c:pt>
                <c:pt idx="307">
                  <c:v>124.91</c:v>
                </c:pt>
                <c:pt idx="308">
                  <c:v>128.49</c:v>
                </c:pt>
                <c:pt idx="309">
                  <c:v>128.88</c:v>
                </c:pt>
                <c:pt idx="310">
                  <c:v>129.13999999999999</c:v>
                </c:pt>
                <c:pt idx="311">
                  <c:v>128.75</c:v>
                </c:pt>
                <c:pt idx="312">
                  <c:v>130.31</c:v>
                </c:pt>
                <c:pt idx="313">
                  <c:v>130.16</c:v>
                </c:pt>
                <c:pt idx="314">
                  <c:v>128.41999999999999</c:v>
                </c:pt>
                <c:pt idx="315">
                  <c:v>127.61</c:v>
                </c:pt>
                <c:pt idx="316">
                  <c:v>127.47</c:v>
                </c:pt>
                <c:pt idx="317">
                  <c:v>127.89</c:v>
                </c:pt>
                <c:pt idx="318">
                  <c:v>128.52000000000001</c:v>
                </c:pt>
                <c:pt idx="319">
                  <c:v>128.5</c:v>
                </c:pt>
                <c:pt idx="320">
                  <c:v>128.99</c:v>
                </c:pt>
                <c:pt idx="321">
                  <c:v>138.72999999999999</c:v>
                </c:pt>
                <c:pt idx="322">
                  <c:v>139.83000000000001</c:v>
                </c:pt>
                <c:pt idx="323">
                  <c:v>141.4</c:v>
                </c:pt>
                <c:pt idx="324">
                  <c:v>141.22</c:v>
                </c:pt>
                <c:pt idx="325">
                  <c:v>140.81</c:v>
                </c:pt>
                <c:pt idx="326">
                  <c:v>140.54</c:v>
                </c:pt>
                <c:pt idx="327">
                  <c:v>140.72999999999999</c:v>
                </c:pt>
                <c:pt idx="328">
                  <c:v>137.66999999999999</c:v>
                </c:pt>
                <c:pt idx="329">
                  <c:v>135.22999999999999</c:v>
                </c:pt>
                <c:pt idx="330">
                  <c:v>137.05000000000001</c:v>
                </c:pt>
                <c:pt idx="331">
                  <c:v>138.24</c:v>
                </c:pt>
                <c:pt idx="332">
                  <c:v>141.19999999999999</c:v>
                </c:pt>
                <c:pt idx="333">
                  <c:v>138.91999999999999</c:v>
                </c:pt>
                <c:pt idx="334">
                  <c:v>135.97999999999999</c:v>
                </c:pt>
                <c:pt idx="335">
                  <c:v>134.12</c:v>
                </c:pt>
                <c:pt idx="336">
                  <c:v>136.74</c:v>
                </c:pt>
                <c:pt idx="337">
                  <c:v>137.07</c:v>
                </c:pt>
                <c:pt idx="338">
                  <c:v>136.41</c:v>
                </c:pt>
                <c:pt idx="339">
                  <c:v>136.47999999999999</c:v>
                </c:pt>
                <c:pt idx="340">
                  <c:v>136.05000000000001</c:v>
                </c:pt>
                <c:pt idx="341">
                  <c:v>134.1</c:v>
                </c:pt>
                <c:pt idx="342">
                  <c:v>135.22999999999999</c:v>
                </c:pt>
                <c:pt idx="343">
                  <c:v>134.32</c:v>
                </c:pt>
                <c:pt idx="344">
                  <c:v>138.44999999999999</c:v>
                </c:pt>
                <c:pt idx="345">
                  <c:v>139.5</c:v>
                </c:pt>
                <c:pt idx="346">
                  <c:v>139.18</c:v>
                </c:pt>
                <c:pt idx="347">
                  <c:v>138.03</c:v>
                </c:pt>
                <c:pt idx="348">
                  <c:v>136.59</c:v>
                </c:pt>
                <c:pt idx="349">
                  <c:v>135.34</c:v>
                </c:pt>
                <c:pt idx="350">
                  <c:v>135.66999999999999</c:v>
                </c:pt>
                <c:pt idx="351">
                  <c:v>136.94</c:v>
                </c:pt>
                <c:pt idx="352">
                  <c:v>137.46</c:v>
                </c:pt>
                <c:pt idx="353">
                  <c:v>135.71</c:v>
                </c:pt>
                <c:pt idx="354">
                  <c:v>137.58000000000001</c:v>
                </c:pt>
                <c:pt idx="355">
                  <c:v>140.47</c:v>
                </c:pt>
                <c:pt idx="356">
                  <c:v>139.09</c:v>
                </c:pt>
                <c:pt idx="357">
                  <c:v>139.34</c:v>
                </c:pt>
                <c:pt idx="358">
                  <c:v>140.69</c:v>
                </c:pt>
                <c:pt idx="359">
                  <c:v>140.72999999999999</c:v>
                </c:pt>
                <c:pt idx="360">
                  <c:v>141.01</c:v>
                </c:pt>
                <c:pt idx="361">
                  <c:v>141</c:v>
                </c:pt>
                <c:pt idx="362">
                  <c:v>142.02000000000001</c:v>
                </c:pt>
                <c:pt idx="363">
                  <c:v>141.49</c:v>
                </c:pt>
                <c:pt idx="364">
                  <c:v>143.09</c:v>
                </c:pt>
                <c:pt idx="365">
                  <c:v>143.26</c:v>
                </c:pt>
                <c:pt idx="366">
                  <c:v>142.53</c:v>
                </c:pt>
                <c:pt idx="367">
                  <c:v>142.32</c:v>
                </c:pt>
                <c:pt idx="368">
                  <c:v>139.58000000000001</c:v>
                </c:pt>
                <c:pt idx="369">
                  <c:v>138.85</c:v>
                </c:pt>
                <c:pt idx="370">
                  <c:v>139.19</c:v>
                </c:pt>
                <c:pt idx="371">
                  <c:v>139.19999999999999</c:v>
                </c:pt>
                <c:pt idx="372">
                  <c:v>138.59</c:v>
                </c:pt>
                <c:pt idx="373">
                  <c:v>143.43</c:v>
                </c:pt>
                <c:pt idx="374">
                  <c:v>145.44</c:v>
                </c:pt>
                <c:pt idx="375">
                  <c:v>146.61000000000001</c:v>
                </c:pt>
                <c:pt idx="376">
                  <c:v>144.63999999999999</c:v>
                </c:pt>
                <c:pt idx="377">
                  <c:v>143.21</c:v>
                </c:pt>
                <c:pt idx="378">
                  <c:v>144.34</c:v>
                </c:pt>
                <c:pt idx="379">
                  <c:v>145.15</c:v>
                </c:pt>
                <c:pt idx="380">
                  <c:v>147.41999999999999</c:v>
                </c:pt>
                <c:pt idx="381">
                  <c:v>148.15</c:v>
                </c:pt>
                <c:pt idx="382">
                  <c:v>148.87</c:v>
                </c:pt>
                <c:pt idx="383">
                  <c:v>149.77000000000001</c:v>
                </c:pt>
                <c:pt idx="384">
                  <c:v>153.38</c:v>
                </c:pt>
                <c:pt idx="385">
                  <c:v>153.66</c:v>
                </c:pt>
                <c:pt idx="386">
                  <c:v>154.25</c:v>
                </c:pt>
                <c:pt idx="387">
                  <c:v>156.15</c:v>
                </c:pt>
                <c:pt idx="388">
                  <c:v>154.94999999999999</c:v>
                </c:pt>
                <c:pt idx="389">
                  <c:v>158</c:v>
                </c:pt>
                <c:pt idx="390">
                  <c:v>156.82</c:v>
                </c:pt>
                <c:pt idx="391">
                  <c:v>157.76</c:v>
                </c:pt>
                <c:pt idx="392">
                  <c:v>156.02000000000001</c:v>
                </c:pt>
                <c:pt idx="393">
                  <c:v>156.91</c:v>
                </c:pt>
                <c:pt idx="394">
                  <c:v>157.96</c:v>
                </c:pt>
                <c:pt idx="395">
                  <c:v>157.18</c:v>
                </c:pt>
                <c:pt idx="396">
                  <c:v>155.4</c:v>
                </c:pt>
                <c:pt idx="397">
                  <c:v>156.35</c:v>
                </c:pt>
                <c:pt idx="398">
                  <c:v>156.02000000000001</c:v>
                </c:pt>
                <c:pt idx="399">
                  <c:v>156.76</c:v>
                </c:pt>
                <c:pt idx="400">
                  <c:v>155.88</c:v>
                </c:pt>
                <c:pt idx="401">
                  <c:v>153.79</c:v>
                </c:pt>
                <c:pt idx="402">
                  <c:v>153.56</c:v>
                </c:pt>
                <c:pt idx="403">
                  <c:v>154.44999999999999</c:v>
                </c:pt>
                <c:pt idx="404">
                  <c:v>154.77000000000001</c:v>
                </c:pt>
                <c:pt idx="405">
                  <c:v>150.83000000000001</c:v>
                </c:pt>
                <c:pt idx="406">
                  <c:v>150.19</c:v>
                </c:pt>
                <c:pt idx="407">
                  <c:v>148.63</c:v>
                </c:pt>
                <c:pt idx="408">
                  <c:v>148.97</c:v>
                </c:pt>
                <c:pt idx="409">
                  <c:v>149.47999999999999</c:v>
                </c:pt>
                <c:pt idx="410">
                  <c:v>146.38</c:v>
                </c:pt>
                <c:pt idx="411">
                  <c:v>147.37</c:v>
                </c:pt>
                <c:pt idx="412">
                  <c:v>147.22999999999999</c:v>
                </c:pt>
                <c:pt idx="413">
                  <c:v>147.05000000000001</c:v>
                </c:pt>
                <c:pt idx="414">
                  <c:v>147.56</c:v>
                </c:pt>
                <c:pt idx="415">
                  <c:v>148.76</c:v>
                </c:pt>
                <c:pt idx="416">
                  <c:v>148.16</c:v>
                </c:pt>
                <c:pt idx="417">
                  <c:v>146.33000000000001</c:v>
                </c:pt>
                <c:pt idx="418">
                  <c:v>146.82</c:v>
                </c:pt>
                <c:pt idx="419">
                  <c:v>145.19999999999999</c:v>
                </c:pt>
                <c:pt idx="420">
                  <c:v>144.96</c:v>
                </c:pt>
                <c:pt idx="421">
                  <c:v>143.72</c:v>
                </c:pt>
                <c:pt idx="422">
                  <c:v>143.83000000000001</c:v>
                </c:pt>
                <c:pt idx="423">
                  <c:v>144.46</c:v>
                </c:pt>
                <c:pt idx="424">
                  <c:v>146.34</c:v>
                </c:pt>
                <c:pt idx="425">
                  <c:v>146.41</c:v>
                </c:pt>
                <c:pt idx="426">
                  <c:v>149.25</c:v>
                </c:pt>
                <c:pt idx="427">
                  <c:v>148.81</c:v>
                </c:pt>
                <c:pt idx="428">
                  <c:v>149.12</c:v>
                </c:pt>
                <c:pt idx="429">
                  <c:v>148.93</c:v>
                </c:pt>
                <c:pt idx="430">
                  <c:v>148.30000000000001</c:v>
                </c:pt>
                <c:pt idx="431">
                  <c:v>147.13999999999999</c:v>
                </c:pt>
                <c:pt idx="432">
                  <c:v>145.72999999999999</c:v>
                </c:pt>
                <c:pt idx="433">
                  <c:v>146.44999999999999</c:v>
                </c:pt>
                <c:pt idx="434">
                  <c:v>144.93</c:v>
                </c:pt>
                <c:pt idx="435">
                  <c:v>145.78</c:v>
                </c:pt>
                <c:pt idx="436">
                  <c:v>147.59</c:v>
                </c:pt>
                <c:pt idx="437">
                  <c:v>145.02000000000001</c:v>
                </c:pt>
                <c:pt idx="438">
                  <c:v>143.77000000000001</c:v>
                </c:pt>
                <c:pt idx="439">
                  <c:v>142.71</c:v>
                </c:pt>
                <c:pt idx="440">
                  <c:v>143.35</c:v>
                </c:pt>
                <c:pt idx="441">
                  <c:v>142.9</c:v>
                </c:pt>
                <c:pt idx="442">
                  <c:v>145.1</c:v>
                </c:pt>
                <c:pt idx="443">
                  <c:v>144.77000000000001</c:v>
                </c:pt>
                <c:pt idx="444">
                  <c:v>145.65</c:v>
                </c:pt>
                <c:pt idx="445">
                  <c:v>146.15</c:v>
                </c:pt>
                <c:pt idx="446">
                  <c:v>145.81</c:v>
                </c:pt>
                <c:pt idx="447">
                  <c:v>148</c:v>
                </c:pt>
                <c:pt idx="448">
                  <c:v>147.85</c:v>
                </c:pt>
                <c:pt idx="449">
                  <c:v>147.53</c:v>
                </c:pt>
                <c:pt idx="450">
                  <c:v>145.91</c:v>
                </c:pt>
                <c:pt idx="451">
                  <c:v>145.29</c:v>
                </c:pt>
                <c:pt idx="452">
                  <c:v>142.94999999999999</c:v>
                </c:pt>
                <c:pt idx="453">
                  <c:v>141</c:v>
                </c:pt>
                <c:pt idx="454">
                  <c:v>141.16999999999999</c:v>
                </c:pt>
                <c:pt idx="455">
                  <c:v>140.4</c:v>
                </c:pt>
                <c:pt idx="456">
                  <c:v>140.76</c:v>
                </c:pt>
                <c:pt idx="457">
                  <c:v>135.69</c:v>
                </c:pt>
                <c:pt idx="458">
                  <c:v>137.41999999999999</c:v>
                </c:pt>
                <c:pt idx="459">
                  <c:v>139.06</c:v>
                </c:pt>
                <c:pt idx="460">
                  <c:v>138.94</c:v>
                </c:pt>
                <c:pt idx="461">
                  <c:v>141.41999999999999</c:v>
                </c:pt>
                <c:pt idx="462">
                  <c:v>143</c:v>
                </c:pt>
                <c:pt idx="463">
                  <c:v>144.08000000000001</c:v>
                </c:pt>
                <c:pt idx="464">
                  <c:v>144.01</c:v>
                </c:pt>
                <c:pt idx="465">
                  <c:v>144.72</c:v>
                </c:pt>
                <c:pt idx="466">
                  <c:v>144.29</c:v>
                </c:pt>
                <c:pt idx="467">
                  <c:v>146.43</c:v>
                </c:pt>
                <c:pt idx="468">
                  <c:v>145.78</c:v>
                </c:pt>
                <c:pt idx="469">
                  <c:v>148.44</c:v>
                </c:pt>
                <c:pt idx="470">
                  <c:v>149.74</c:v>
                </c:pt>
                <c:pt idx="471">
                  <c:v>151.44999999999999</c:v>
                </c:pt>
                <c:pt idx="472">
                  <c:v>152.82</c:v>
                </c:pt>
                <c:pt idx="473">
                  <c:v>153.29</c:v>
                </c:pt>
                <c:pt idx="474">
                  <c:v>152.97</c:v>
                </c:pt>
                <c:pt idx="475">
                  <c:v>153.33000000000001</c:v>
                </c:pt>
                <c:pt idx="476">
                  <c:v>153.54</c:v>
                </c:pt>
                <c:pt idx="477">
                  <c:v>153.19</c:v>
                </c:pt>
                <c:pt idx="478">
                  <c:v>153.54</c:v>
                </c:pt>
                <c:pt idx="479">
                  <c:v>154.32</c:v>
                </c:pt>
                <c:pt idx="480">
                  <c:v>156.08000000000001</c:v>
                </c:pt>
                <c:pt idx="481">
                  <c:v>156.84</c:v>
                </c:pt>
                <c:pt idx="482">
                  <c:v>157.99</c:v>
                </c:pt>
                <c:pt idx="483">
                  <c:v>157.97</c:v>
                </c:pt>
                <c:pt idx="484">
                  <c:v>156.31</c:v>
                </c:pt>
                <c:pt idx="485">
                  <c:v>156.79</c:v>
                </c:pt>
                <c:pt idx="486">
                  <c:v>158.52000000000001</c:v>
                </c:pt>
                <c:pt idx="487">
                  <c:v>159.1</c:v>
                </c:pt>
                <c:pt idx="488">
                  <c:v>160.52000000000001</c:v>
                </c:pt>
                <c:pt idx="489">
                  <c:v>161.06</c:v>
                </c:pt>
                <c:pt idx="490">
                  <c:v>163.99</c:v>
                </c:pt>
                <c:pt idx="491">
                  <c:v>165.23</c:v>
                </c:pt>
                <c:pt idx="492">
                  <c:v>166.23</c:v>
                </c:pt>
                <c:pt idx="493">
                  <c:v>168.45</c:v>
                </c:pt>
                <c:pt idx="494">
                  <c:v>166.55</c:v>
                </c:pt>
                <c:pt idx="495">
                  <c:v>167.5</c:v>
                </c:pt>
                <c:pt idx="496">
                  <c:v>167.4</c:v>
                </c:pt>
                <c:pt idx="497">
                  <c:v>168.39</c:v>
                </c:pt>
                <c:pt idx="498">
                  <c:v>169.4</c:v>
                </c:pt>
                <c:pt idx="499">
                  <c:v>170.3</c:v>
                </c:pt>
                <c:pt idx="500">
                  <c:v>170.1</c:v>
                </c:pt>
                <c:pt idx="501">
                  <c:v>172.08</c:v>
                </c:pt>
                <c:pt idx="502">
                  <c:v>171.33</c:v>
                </c:pt>
                <c:pt idx="503">
                  <c:v>171.41</c:v>
                </c:pt>
                <c:pt idx="504">
                  <c:v>172.27</c:v>
                </c:pt>
                <c:pt idx="505">
                  <c:v>172.02</c:v>
                </c:pt>
                <c:pt idx="506">
                  <c:v>170.66</c:v>
                </c:pt>
                <c:pt idx="507">
                  <c:v>171.02</c:v>
                </c:pt>
                <c:pt idx="508">
                  <c:v>170.3</c:v>
                </c:pt>
                <c:pt idx="509">
                  <c:v>169.05</c:v>
                </c:pt>
                <c:pt idx="510">
                  <c:v>167.99</c:v>
                </c:pt>
                <c:pt idx="511">
                  <c:v>167.09</c:v>
                </c:pt>
                <c:pt idx="512">
                  <c:v>167.42</c:v>
                </c:pt>
                <c:pt idx="513">
                  <c:v>170.31</c:v>
                </c:pt>
                <c:pt idx="514">
                  <c:v>170.11</c:v>
                </c:pt>
                <c:pt idx="515">
                  <c:v>168.99</c:v>
                </c:pt>
                <c:pt idx="516">
                  <c:v>170.5</c:v>
                </c:pt>
                <c:pt idx="517">
                  <c:v>172.94</c:v>
                </c:pt>
                <c:pt idx="518">
                  <c:v>172.28</c:v>
                </c:pt>
                <c:pt idx="519">
                  <c:v>172.73</c:v>
                </c:pt>
                <c:pt idx="520">
                  <c:v>176.27</c:v>
                </c:pt>
                <c:pt idx="521">
                  <c:v>174.36</c:v>
                </c:pt>
                <c:pt idx="522">
                  <c:v>173.73</c:v>
                </c:pt>
                <c:pt idx="523">
                  <c:v>174.73</c:v>
                </c:pt>
                <c:pt idx="524">
                  <c:v>174.5</c:v>
                </c:pt>
                <c:pt idx="525">
                  <c:v>175.1</c:v>
                </c:pt>
                <c:pt idx="526">
                  <c:v>175.43</c:v>
                </c:pt>
                <c:pt idx="527">
                  <c:v>174.8</c:v>
                </c:pt>
                <c:pt idx="528">
                  <c:v>175.01</c:v>
                </c:pt>
                <c:pt idx="529">
                  <c:v>175.79</c:v>
                </c:pt>
                <c:pt idx="530">
                  <c:v>174.26</c:v>
                </c:pt>
                <c:pt idx="531">
                  <c:v>176.03</c:v>
                </c:pt>
                <c:pt idx="532">
                  <c:v>179.87</c:v>
                </c:pt>
                <c:pt idx="533">
                  <c:v>179.03</c:v>
                </c:pt>
                <c:pt idx="534">
                  <c:v>179.73</c:v>
                </c:pt>
                <c:pt idx="535">
                  <c:v>180.9</c:v>
                </c:pt>
                <c:pt idx="536">
                  <c:v>183.07</c:v>
                </c:pt>
                <c:pt idx="537">
                  <c:v>183.99</c:v>
                </c:pt>
                <c:pt idx="538">
                  <c:v>183.36</c:v>
                </c:pt>
                <c:pt idx="539">
                  <c:v>183.45</c:v>
                </c:pt>
                <c:pt idx="540">
                  <c:v>184.38</c:v>
                </c:pt>
                <c:pt idx="541">
                  <c:v>186.06</c:v>
                </c:pt>
                <c:pt idx="542">
                  <c:v>185.29</c:v>
                </c:pt>
                <c:pt idx="543">
                  <c:v>186.68</c:v>
                </c:pt>
                <c:pt idx="544">
                  <c:v>188.55</c:v>
                </c:pt>
                <c:pt idx="545">
                  <c:v>189.53</c:v>
                </c:pt>
                <c:pt idx="546">
                  <c:v>187.87</c:v>
                </c:pt>
                <c:pt idx="547">
                  <c:v>188.22</c:v>
                </c:pt>
                <c:pt idx="548">
                  <c:v>188.29</c:v>
                </c:pt>
                <c:pt idx="549">
                  <c:v>189.84</c:v>
                </c:pt>
                <c:pt idx="550">
                  <c:v>191.38</c:v>
                </c:pt>
                <c:pt idx="551">
                  <c:v>187.97</c:v>
                </c:pt>
                <c:pt idx="552">
                  <c:v>190.3</c:v>
                </c:pt>
                <c:pt idx="553">
                  <c:v>192.66</c:v>
                </c:pt>
                <c:pt idx="554">
                  <c:v>193.79</c:v>
                </c:pt>
                <c:pt idx="555">
                  <c:v>196.33</c:v>
                </c:pt>
                <c:pt idx="556">
                  <c:v>199.06</c:v>
                </c:pt>
                <c:pt idx="557">
                  <c:v>196.62</c:v>
                </c:pt>
                <c:pt idx="558">
                  <c:v>194.82</c:v>
                </c:pt>
                <c:pt idx="559">
                  <c:v>195.73</c:v>
                </c:pt>
                <c:pt idx="560">
                  <c:v>199.52</c:v>
                </c:pt>
                <c:pt idx="561">
                  <c:v>200.3</c:v>
                </c:pt>
                <c:pt idx="562">
                  <c:v>198.94</c:v>
                </c:pt>
                <c:pt idx="563">
                  <c:v>198.86</c:v>
                </c:pt>
                <c:pt idx="564">
                  <c:v>198.3</c:v>
                </c:pt>
                <c:pt idx="565">
                  <c:v>195.65</c:v>
                </c:pt>
                <c:pt idx="566">
                  <c:v>197.45</c:v>
                </c:pt>
                <c:pt idx="567">
                  <c:v>198.48</c:v>
                </c:pt>
                <c:pt idx="568">
                  <c:v>197.15</c:v>
                </c:pt>
                <c:pt idx="569">
                  <c:v>195.47</c:v>
                </c:pt>
                <c:pt idx="570">
                  <c:v>195.43</c:v>
                </c:pt>
                <c:pt idx="571">
                  <c:v>182.79</c:v>
                </c:pt>
                <c:pt idx="572">
                  <c:v>182.89</c:v>
                </c:pt>
                <c:pt idx="573">
                  <c:v>180.8</c:v>
                </c:pt>
                <c:pt idx="574">
                  <c:v>180.08</c:v>
                </c:pt>
                <c:pt idx="575">
                  <c:v>181.25</c:v>
                </c:pt>
                <c:pt idx="576">
                  <c:v>185.8</c:v>
                </c:pt>
                <c:pt idx="577">
                  <c:v>189.41</c:v>
                </c:pt>
                <c:pt idx="578">
                  <c:v>192.14</c:v>
                </c:pt>
                <c:pt idx="579">
                  <c:v>193.08</c:v>
                </c:pt>
                <c:pt idx="580">
                  <c:v>193.37</c:v>
                </c:pt>
                <c:pt idx="581">
                  <c:v>193.49</c:v>
                </c:pt>
                <c:pt idx="582">
                  <c:v>193.28</c:v>
                </c:pt>
                <c:pt idx="583">
                  <c:v>191.74</c:v>
                </c:pt>
                <c:pt idx="584">
                  <c:v>191.86</c:v>
                </c:pt>
                <c:pt idx="585">
                  <c:v>191.66</c:v>
                </c:pt>
                <c:pt idx="586">
                  <c:v>190.51</c:v>
                </c:pt>
                <c:pt idx="587">
                  <c:v>192</c:v>
                </c:pt>
                <c:pt idx="588">
                  <c:v>191.75</c:v>
                </c:pt>
                <c:pt idx="589">
                  <c:v>195.65</c:v>
                </c:pt>
                <c:pt idx="590">
                  <c:v>197.5</c:v>
                </c:pt>
                <c:pt idx="591">
                  <c:v>198.77</c:v>
                </c:pt>
                <c:pt idx="592">
                  <c:v>198.73</c:v>
                </c:pt>
                <c:pt idx="593">
                  <c:v>201.51</c:v>
                </c:pt>
                <c:pt idx="594">
                  <c:v>202.11</c:v>
                </c:pt>
                <c:pt idx="595">
                  <c:v>202.47</c:v>
                </c:pt>
                <c:pt idx="596">
                  <c:v>204.79</c:v>
                </c:pt>
                <c:pt idx="597">
                  <c:v>195.58</c:v>
                </c:pt>
                <c:pt idx="598">
                  <c:v>199.52</c:v>
                </c:pt>
                <c:pt idx="599">
                  <c:v>198.31</c:v>
                </c:pt>
                <c:pt idx="600">
                  <c:v>196.92</c:v>
                </c:pt>
                <c:pt idx="601">
                  <c:v>200.71</c:v>
                </c:pt>
                <c:pt idx="602">
                  <c:v>199.5</c:v>
                </c:pt>
                <c:pt idx="603">
                  <c:v>198.11</c:v>
                </c:pt>
                <c:pt idx="604">
                  <c:v>199.33</c:v>
                </c:pt>
                <c:pt idx="605">
                  <c:v>202.63</c:v>
                </c:pt>
                <c:pt idx="606">
                  <c:v>201.82</c:v>
                </c:pt>
                <c:pt idx="607">
                  <c:v>199.16</c:v>
                </c:pt>
                <c:pt idx="608">
                  <c:v>197.26</c:v>
                </c:pt>
                <c:pt idx="609">
                  <c:v>196.91</c:v>
                </c:pt>
                <c:pt idx="610">
                  <c:v>199.95</c:v>
                </c:pt>
                <c:pt idx="611">
                  <c:v>199.61</c:v>
                </c:pt>
                <c:pt idx="612">
                  <c:v>194.36</c:v>
                </c:pt>
                <c:pt idx="613">
                  <c:v>191.53</c:v>
                </c:pt>
                <c:pt idx="614">
                  <c:v>193.66</c:v>
                </c:pt>
                <c:pt idx="615">
                  <c:v>193.78</c:v>
                </c:pt>
                <c:pt idx="616">
                  <c:v>194.98</c:v>
                </c:pt>
                <c:pt idx="617">
                  <c:v>197</c:v>
                </c:pt>
                <c:pt idx="618">
                  <c:v>198.67</c:v>
                </c:pt>
                <c:pt idx="619">
                  <c:v>196.3</c:v>
                </c:pt>
                <c:pt idx="620">
                  <c:v>198.88</c:v>
                </c:pt>
                <c:pt idx="621">
                  <c:v>198.07</c:v>
                </c:pt>
                <c:pt idx="622">
                  <c:v>197.43</c:v>
                </c:pt>
                <c:pt idx="623">
                  <c:v>199.17</c:v>
                </c:pt>
                <c:pt idx="624">
                  <c:v>202.26</c:v>
                </c:pt>
                <c:pt idx="625">
                  <c:v>205.45</c:v>
                </c:pt>
                <c:pt idx="626">
                  <c:v>208.83</c:v>
                </c:pt>
                <c:pt idx="627">
                  <c:v>208.69</c:v>
                </c:pt>
                <c:pt idx="628">
                  <c:v>204.79</c:v>
                </c:pt>
                <c:pt idx="629">
                  <c:v>205.17</c:v>
                </c:pt>
                <c:pt idx="630">
                  <c:v>207.63</c:v>
                </c:pt>
                <c:pt idx="631">
                  <c:v>207.8</c:v>
                </c:pt>
                <c:pt idx="632">
                  <c:v>207.45</c:v>
                </c:pt>
                <c:pt idx="633">
                  <c:v>204.94</c:v>
                </c:pt>
                <c:pt idx="634">
                  <c:v>210.05</c:v>
                </c:pt>
                <c:pt idx="635">
                  <c:v>213.62</c:v>
                </c:pt>
                <c:pt idx="636">
                  <c:v>216.87</c:v>
                </c:pt>
                <c:pt idx="637">
                  <c:v>209.98</c:v>
                </c:pt>
                <c:pt idx="638">
                  <c:v>209.78</c:v>
                </c:pt>
                <c:pt idx="639">
                  <c:v>210.28</c:v>
                </c:pt>
                <c:pt idx="640">
                  <c:v>210.33</c:v>
                </c:pt>
                <c:pt idx="641">
                  <c:v>208.59</c:v>
                </c:pt>
                <c:pt idx="642">
                  <c:v>208.67</c:v>
                </c:pt>
                <c:pt idx="643">
                  <c:v>212.24</c:v>
                </c:pt>
                <c:pt idx="644">
                  <c:v>210.85</c:v>
                </c:pt>
                <c:pt idx="645">
                  <c:v>215.19</c:v>
                </c:pt>
                <c:pt idx="646">
                  <c:v>212.8</c:v>
                </c:pt>
                <c:pt idx="647">
                  <c:v>207.96</c:v>
                </c:pt>
                <c:pt idx="648">
                  <c:v>199.14</c:v>
                </c:pt>
                <c:pt idx="649">
                  <c:v>194.9</c:v>
                </c:pt>
                <c:pt idx="650">
                  <c:v>200.34</c:v>
                </c:pt>
                <c:pt idx="651">
                  <c:v>200.4</c:v>
                </c:pt>
                <c:pt idx="652">
                  <c:v>204.06</c:v>
                </c:pt>
                <c:pt idx="653">
                  <c:v>205.8</c:v>
                </c:pt>
                <c:pt idx="654">
                  <c:v>206.19</c:v>
                </c:pt>
                <c:pt idx="655">
                  <c:v>207.94</c:v>
                </c:pt>
                <c:pt idx="656">
                  <c:v>210.24</c:v>
                </c:pt>
                <c:pt idx="657">
                  <c:v>211.55</c:v>
                </c:pt>
                <c:pt idx="658">
                  <c:v>213.97</c:v>
                </c:pt>
                <c:pt idx="659">
                  <c:v>215.45</c:v>
                </c:pt>
                <c:pt idx="660">
                  <c:v>214.52</c:v>
                </c:pt>
                <c:pt idx="661">
                  <c:v>214.6</c:v>
                </c:pt>
                <c:pt idx="662">
                  <c:v>216.63</c:v>
                </c:pt>
                <c:pt idx="663">
                  <c:v>218.31</c:v>
                </c:pt>
                <c:pt idx="664">
                  <c:v>219.17</c:v>
                </c:pt>
                <c:pt idx="665">
                  <c:v>220.18</c:v>
                </c:pt>
                <c:pt idx="666">
                  <c:v>221.29</c:v>
                </c:pt>
                <c:pt idx="667">
                  <c:v>222.21</c:v>
                </c:pt>
                <c:pt idx="668">
                  <c:v>224.8</c:v>
                </c:pt>
                <c:pt idx="669">
                  <c:v>220.3</c:v>
                </c:pt>
                <c:pt idx="670">
                  <c:v>219.33</c:v>
                </c:pt>
                <c:pt idx="671">
                  <c:v>217.63</c:v>
                </c:pt>
                <c:pt idx="672">
                  <c:v>212.46</c:v>
                </c:pt>
                <c:pt idx="673">
                  <c:v>216.81</c:v>
                </c:pt>
                <c:pt idx="674">
                  <c:v>205.56</c:v>
                </c:pt>
                <c:pt idx="675">
                  <c:v>207.23</c:v>
                </c:pt>
                <c:pt idx="676">
                  <c:v>206.6</c:v>
                </c:pt>
                <c:pt idx="677">
                  <c:v>204.32</c:v>
                </c:pt>
                <c:pt idx="678">
                  <c:v>207.86</c:v>
                </c:pt>
                <c:pt idx="679">
                  <c:v>209.25</c:v>
                </c:pt>
                <c:pt idx="680">
                  <c:v>207.53</c:v>
                </c:pt>
                <c:pt idx="681">
                  <c:v>210.48</c:v>
                </c:pt>
                <c:pt idx="682">
                  <c:v>211.09</c:v>
                </c:pt>
                <c:pt idx="683">
                  <c:v>211.44</c:v>
                </c:pt>
                <c:pt idx="684">
                  <c:v>211.59</c:v>
                </c:pt>
                <c:pt idx="685">
                  <c:v>210.19</c:v>
                </c:pt>
                <c:pt idx="686">
                  <c:v>209.78</c:v>
                </c:pt>
                <c:pt idx="687">
                  <c:v>210.5</c:v>
                </c:pt>
                <c:pt idx="688">
                  <c:v>210.86</c:v>
                </c:pt>
                <c:pt idx="689">
                  <c:v>207.04</c:v>
                </c:pt>
                <c:pt idx="690">
                  <c:v>207.29</c:v>
                </c:pt>
                <c:pt idx="691">
                  <c:v>205.23</c:v>
                </c:pt>
                <c:pt idx="692">
                  <c:v>211.22</c:v>
                </c:pt>
                <c:pt idx="693">
                  <c:v>210.93</c:v>
                </c:pt>
                <c:pt idx="694">
                  <c:v>210.75</c:v>
                </c:pt>
                <c:pt idx="695">
                  <c:v>213.42</c:v>
                </c:pt>
                <c:pt idx="696">
                  <c:v>212.84</c:v>
                </c:pt>
                <c:pt idx="697">
                  <c:v>222.29</c:v>
                </c:pt>
                <c:pt idx="698">
                  <c:v>221.48</c:v>
                </c:pt>
                <c:pt idx="699">
                  <c:v>222.39</c:v>
                </c:pt>
                <c:pt idx="700">
                  <c:v>223.64</c:v>
                </c:pt>
                <c:pt idx="701">
                  <c:v>224.42</c:v>
                </c:pt>
                <c:pt idx="702">
                  <c:v>225.37</c:v>
                </c:pt>
                <c:pt idx="703">
                  <c:v>223</c:v>
                </c:pt>
                <c:pt idx="704">
                  <c:v>224.12</c:v>
                </c:pt>
                <c:pt idx="705">
                  <c:v>223.41</c:v>
                </c:pt>
                <c:pt idx="706">
                  <c:v>224.98</c:v>
                </c:pt>
                <c:pt idx="707">
                  <c:v>222.31</c:v>
                </c:pt>
                <c:pt idx="708">
                  <c:v>225.5</c:v>
                </c:pt>
                <c:pt idx="709">
                  <c:v>222.9</c:v>
                </c:pt>
                <c:pt idx="710">
                  <c:v>224.41</c:v>
                </c:pt>
                <c:pt idx="711">
                  <c:v>221.92</c:v>
                </c:pt>
                <c:pt idx="712">
                  <c:v>222.94</c:v>
                </c:pt>
                <c:pt idx="713">
                  <c:v>219.78</c:v>
                </c:pt>
                <c:pt idx="714">
                  <c:v>221.49</c:v>
                </c:pt>
                <c:pt idx="715">
                  <c:v>247.06</c:v>
                </c:pt>
                <c:pt idx="716">
                  <c:v>236.38</c:v>
                </c:pt>
                <c:pt idx="717">
                  <c:v>236.98</c:v>
                </c:pt>
                <c:pt idx="718">
                  <c:v>239.29</c:v>
                </c:pt>
                <c:pt idx="719">
                  <c:v>239.56</c:v>
                </c:pt>
                <c:pt idx="720">
                  <c:v>241.16</c:v>
                </c:pt>
                <c:pt idx="721">
                  <c:v>241.87</c:v>
                </c:pt>
                <c:pt idx="722">
                  <c:v>245.31</c:v>
                </c:pt>
                <c:pt idx="723">
                  <c:v>245.03</c:v>
                </c:pt>
                <c:pt idx="724">
                  <c:v>243.09</c:v>
                </c:pt>
                <c:pt idx="725">
                  <c:v>240.78</c:v>
                </c:pt>
                <c:pt idx="726">
                  <c:v>244.76</c:v>
                </c:pt>
                <c:pt idx="727">
                  <c:v>248.55</c:v>
                </c:pt>
                <c:pt idx="728">
                  <c:v>250.29</c:v>
                </c:pt>
                <c:pt idx="729">
                  <c:v>249.97</c:v>
                </c:pt>
                <c:pt idx="730">
                  <c:v>249.79</c:v>
                </c:pt>
                <c:pt idx="731">
                  <c:v>249.72</c:v>
                </c:pt>
                <c:pt idx="732">
                  <c:v>246.25</c:v>
                </c:pt>
                <c:pt idx="733">
                  <c:v>244.82</c:v>
                </c:pt>
                <c:pt idx="734">
                  <c:v>243.4</c:v>
                </c:pt>
                <c:pt idx="735">
                  <c:v>245.48</c:v>
                </c:pt>
                <c:pt idx="736">
                  <c:v>247.36</c:v>
                </c:pt>
                <c:pt idx="737">
                  <c:v>243.81</c:v>
                </c:pt>
                <c:pt idx="738">
                  <c:v>242.86</c:v>
                </c:pt>
                <c:pt idx="739">
                  <c:v>243.53</c:v>
                </c:pt>
                <c:pt idx="740">
                  <c:v>241.53</c:v>
                </c:pt>
                <c:pt idx="741">
                  <c:v>239.94</c:v>
                </c:pt>
                <c:pt idx="742">
                  <c:v>239.58</c:v>
                </c:pt>
                <c:pt idx="743">
                  <c:v>238.36</c:v>
                </c:pt>
                <c:pt idx="744">
                  <c:v>230.37</c:v>
                </c:pt>
                <c:pt idx="745">
                  <c:v>232.96</c:v>
                </c:pt>
                <c:pt idx="746">
                  <c:v>237.6</c:v>
                </c:pt>
                <c:pt idx="747">
                  <c:v>238.39</c:v>
                </c:pt>
                <c:pt idx="748">
                  <c:v>242.31</c:v>
                </c:pt>
                <c:pt idx="749">
                  <c:v>243.14</c:v>
                </c:pt>
                <c:pt idx="750">
                  <c:v>241.17</c:v>
                </c:pt>
                <c:pt idx="751">
                  <c:v>239.32</c:v>
                </c:pt>
                <c:pt idx="752">
                  <c:v>239.71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9-45F2-BFF7-D8786133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301019"/>
        <c:axId val="989670400"/>
      </c:lineChart>
      <c:dateAx>
        <c:axId val="1143301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m/d/yyyy\ h:mm:ss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9670400"/>
        <c:crosses val="autoZero"/>
        <c:auto val="1"/>
        <c:lblOffset val="100"/>
        <c:baseTimeUnit val="days"/>
      </c:dateAx>
      <c:valAx>
        <c:axId val="98967040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330101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MS Closing Prices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Sheet1!$B$6:$B$758</c:f>
              <c:numCache>
                <c:formatCode>m/d/yyyy\ h:mm:ss</c:formatCode>
                <c:ptCount val="753"/>
                <c:pt idx="0">
                  <c:v>44564.666666666599</c:v>
                </c:pt>
                <c:pt idx="1">
                  <c:v>44565.666666666599</c:v>
                </c:pt>
                <c:pt idx="2">
                  <c:v>44566.666666666599</c:v>
                </c:pt>
                <c:pt idx="3">
                  <c:v>44567.666666666599</c:v>
                </c:pt>
                <c:pt idx="4">
                  <c:v>44568.666666666599</c:v>
                </c:pt>
                <c:pt idx="5">
                  <c:v>44571.666666666599</c:v>
                </c:pt>
                <c:pt idx="6">
                  <c:v>44572.666666666599</c:v>
                </c:pt>
                <c:pt idx="7">
                  <c:v>44573.666666666599</c:v>
                </c:pt>
                <c:pt idx="8">
                  <c:v>44574.666666666599</c:v>
                </c:pt>
                <c:pt idx="9">
                  <c:v>44575.666666666599</c:v>
                </c:pt>
                <c:pt idx="10">
                  <c:v>44579.666666666599</c:v>
                </c:pt>
                <c:pt idx="11">
                  <c:v>44580.666666666599</c:v>
                </c:pt>
                <c:pt idx="12">
                  <c:v>44581.666666666599</c:v>
                </c:pt>
                <c:pt idx="13">
                  <c:v>44582.666666666599</c:v>
                </c:pt>
                <c:pt idx="14">
                  <c:v>44585.666666666599</c:v>
                </c:pt>
                <c:pt idx="15">
                  <c:v>44586.666666666599</c:v>
                </c:pt>
                <c:pt idx="16">
                  <c:v>44587.666666666599</c:v>
                </c:pt>
                <c:pt idx="17">
                  <c:v>44588.666666666599</c:v>
                </c:pt>
                <c:pt idx="18">
                  <c:v>44589.666666666599</c:v>
                </c:pt>
                <c:pt idx="19">
                  <c:v>44592.666666666599</c:v>
                </c:pt>
                <c:pt idx="20">
                  <c:v>44593.666666666599</c:v>
                </c:pt>
                <c:pt idx="21">
                  <c:v>44594.666666666599</c:v>
                </c:pt>
                <c:pt idx="22">
                  <c:v>44595.666666666599</c:v>
                </c:pt>
                <c:pt idx="23">
                  <c:v>44596.666666666599</c:v>
                </c:pt>
                <c:pt idx="24">
                  <c:v>44599.666666666599</c:v>
                </c:pt>
                <c:pt idx="25">
                  <c:v>44600.666666666599</c:v>
                </c:pt>
                <c:pt idx="26">
                  <c:v>44601.666666666599</c:v>
                </c:pt>
                <c:pt idx="27">
                  <c:v>44602.666666666599</c:v>
                </c:pt>
                <c:pt idx="28">
                  <c:v>44603.666666666599</c:v>
                </c:pt>
                <c:pt idx="29">
                  <c:v>44606.666666666599</c:v>
                </c:pt>
                <c:pt idx="30">
                  <c:v>44607.666666666599</c:v>
                </c:pt>
                <c:pt idx="31">
                  <c:v>44608.666666666599</c:v>
                </c:pt>
                <c:pt idx="32">
                  <c:v>44609.666666666599</c:v>
                </c:pt>
                <c:pt idx="33">
                  <c:v>44610.666666666599</c:v>
                </c:pt>
                <c:pt idx="34">
                  <c:v>44614.666666666599</c:v>
                </c:pt>
                <c:pt idx="35">
                  <c:v>44615.666666666599</c:v>
                </c:pt>
                <c:pt idx="36">
                  <c:v>44616.666666666599</c:v>
                </c:pt>
                <c:pt idx="37">
                  <c:v>44617.666666666599</c:v>
                </c:pt>
                <c:pt idx="38">
                  <c:v>44620.666666666599</c:v>
                </c:pt>
                <c:pt idx="39">
                  <c:v>44621.666666666599</c:v>
                </c:pt>
                <c:pt idx="40">
                  <c:v>44622.666666666599</c:v>
                </c:pt>
                <c:pt idx="41">
                  <c:v>44623.666666666599</c:v>
                </c:pt>
                <c:pt idx="42">
                  <c:v>44624.666666666599</c:v>
                </c:pt>
                <c:pt idx="43">
                  <c:v>44627.666666666599</c:v>
                </c:pt>
                <c:pt idx="44">
                  <c:v>44628.666666666599</c:v>
                </c:pt>
                <c:pt idx="45">
                  <c:v>44629.666666666599</c:v>
                </c:pt>
                <c:pt idx="46">
                  <c:v>44630.666666666599</c:v>
                </c:pt>
                <c:pt idx="47">
                  <c:v>44631.666666666599</c:v>
                </c:pt>
                <c:pt idx="48">
                  <c:v>44634.666666666599</c:v>
                </c:pt>
                <c:pt idx="49">
                  <c:v>44635.666666666599</c:v>
                </c:pt>
                <c:pt idx="50">
                  <c:v>44636.666666666599</c:v>
                </c:pt>
                <c:pt idx="51">
                  <c:v>44637.666666666599</c:v>
                </c:pt>
                <c:pt idx="52">
                  <c:v>44638.666666666599</c:v>
                </c:pt>
                <c:pt idx="53">
                  <c:v>44641.666666666599</c:v>
                </c:pt>
                <c:pt idx="54">
                  <c:v>44642.666666666599</c:v>
                </c:pt>
                <c:pt idx="55">
                  <c:v>44643.666666666599</c:v>
                </c:pt>
                <c:pt idx="56">
                  <c:v>44644.666666666599</c:v>
                </c:pt>
                <c:pt idx="57">
                  <c:v>44645.666666666599</c:v>
                </c:pt>
                <c:pt idx="58">
                  <c:v>44648.666666666599</c:v>
                </c:pt>
                <c:pt idx="59">
                  <c:v>44649.666666666599</c:v>
                </c:pt>
                <c:pt idx="60">
                  <c:v>44650.666666666599</c:v>
                </c:pt>
                <c:pt idx="61">
                  <c:v>44651.666666666599</c:v>
                </c:pt>
                <c:pt idx="62">
                  <c:v>44652.666666666599</c:v>
                </c:pt>
                <c:pt idx="63">
                  <c:v>44655.666666666599</c:v>
                </c:pt>
                <c:pt idx="64">
                  <c:v>44656.666666666599</c:v>
                </c:pt>
                <c:pt idx="65">
                  <c:v>44657.666666666599</c:v>
                </c:pt>
                <c:pt idx="66">
                  <c:v>44658.666666666599</c:v>
                </c:pt>
                <c:pt idx="67">
                  <c:v>44659.666666666599</c:v>
                </c:pt>
                <c:pt idx="68">
                  <c:v>44662.666666666599</c:v>
                </c:pt>
                <c:pt idx="69">
                  <c:v>44663.666666666599</c:v>
                </c:pt>
                <c:pt idx="70">
                  <c:v>44664.666666666599</c:v>
                </c:pt>
                <c:pt idx="71">
                  <c:v>44665.666666666599</c:v>
                </c:pt>
                <c:pt idx="72">
                  <c:v>44669.666666666599</c:v>
                </c:pt>
                <c:pt idx="73">
                  <c:v>44670.666666666599</c:v>
                </c:pt>
                <c:pt idx="74">
                  <c:v>44671.666666666599</c:v>
                </c:pt>
                <c:pt idx="75">
                  <c:v>44672.666666666599</c:v>
                </c:pt>
                <c:pt idx="76">
                  <c:v>44673.666666666599</c:v>
                </c:pt>
                <c:pt idx="77">
                  <c:v>44676.666666666599</c:v>
                </c:pt>
                <c:pt idx="78">
                  <c:v>44677.666666666599</c:v>
                </c:pt>
                <c:pt idx="79">
                  <c:v>44678.666666666599</c:v>
                </c:pt>
                <c:pt idx="80">
                  <c:v>44679.666666666599</c:v>
                </c:pt>
                <c:pt idx="81">
                  <c:v>44680.666666666599</c:v>
                </c:pt>
                <c:pt idx="82">
                  <c:v>44683.666666666599</c:v>
                </c:pt>
                <c:pt idx="83">
                  <c:v>44684.666666666599</c:v>
                </c:pt>
                <c:pt idx="84">
                  <c:v>44685.666666666599</c:v>
                </c:pt>
                <c:pt idx="85">
                  <c:v>44686.666666666599</c:v>
                </c:pt>
                <c:pt idx="86">
                  <c:v>44687.666666666599</c:v>
                </c:pt>
                <c:pt idx="87">
                  <c:v>44690.666666666599</c:v>
                </c:pt>
                <c:pt idx="88">
                  <c:v>44691.666666666599</c:v>
                </c:pt>
                <c:pt idx="89">
                  <c:v>44692.666666666599</c:v>
                </c:pt>
                <c:pt idx="90">
                  <c:v>44693.666666666599</c:v>
                </c:pt>
                <c:pt idx="91">
                  <c:v>44694.666666666599</c:v>
                </c:pt>
                <c:pt idx="92">
                  <c:v>44697.666666666599</c:v>
                </c:pt>
                <c:pt idx="93">
                  <c:v>44698.666666666599</c:v>
                </c:pt>
                <c:pt idx="94">
                  <c:v>44699.666666666599</c:v>
                </c:pt>
                <c:pt idx="95">
                  <c:v>44700.666666666599</c:v>
                </c:pt>
                <c:pt idx="96">
                  <c:v>44701.666666666599</c:v>
                </c:pt>
                <c:pt idx="97">
                  <c:v>44704.666666666599</c:v>
                </c:pt>
                <c:pt idx="98">
                  <c:v>44705.666666666599</c:v>
                </c:pt>
                <c:pt idx="99">
                  <c:v>44706.666666666599</c:v>
                </c:pt>
                <c:pt idx="100">
                  <c:v>44707.666666666599</c:v>
                </c:pt>
                <c:pt idx="101">
                  <c:v>44708.666666666599</c:v>
                </c:pt>
                <c:pt idx="102">
                  <c:v>44712.666666666599</c:v>
                </c:pt>
                <c:pt idx="103">
                  <c:v>44713.666666666599</c:v>
                </c:pt>
                <c:pt idx="104">
                  <c:v>44714.666666666599</c:v>
                </c:pt>
                <c:pt idx="105">
                  <c:v>44715.666666666599</c:v>
                </c:pt>
                <c:pt idx="106">
                  <c:v>44718.666666666599</c:v>
                </c:pt>
                <c:pt idx="107">
                  <c:v>44719.666666666599</c:v>
                </c:pt>
                <c:pt idx="108">
                  <c:v>44720.666666666599</c:v>
                </c:pt>
                <c:pt idx="109">
                  <c:v>44721.666666666599</c:v>
                </c:pt>
                <c:pt idx="110">
                  <c:v>44722.666666666599</c:v>
                </c:pt>
                <c:pt idx="111">
                  <c:v>44725.666666666599</c:v>
                </c:pt>
                <c:pt idx="112">
                  <c:v>44726.666666666599</c:v>
                </c:pt>
                <c:pt idx="113">
                  <c:v>44727.666666666599</c:v>
                </c:pt>
                <c:pt idx="114">
                  <c:v>44728.666666666599</c:v>
                </c:pt>
                <c:pt idx="115">
                  <c:v>44729.666666666599</c:v>
                </c:pt>
                <c:pt idx="116">
                  <c:v>44733.666666666599</c:v>
                </c:pt>
                <c:pt idx="117">
                  <c:v>44734.666666666599</c:v>
                </c:pt>
                <c:pt idx="118">
                  <c:v>44735.666666666599</c:v>
                </c:pt>
                <c:pt idx="119">
                  <c:v>44736.666666666599</c:v>
                </c:pt>
                <c:pt idx="120">
                  <c:v>44739.666666666599</c:v>
                </c:pt>
                <c:pt idx="121">
                  <c:v>44740.666666666599</c:v>
                </c:pt>
                <c:pt idx="122">
                  <c:v>44741.666666666599</c:v>
                </c:pt>
                <c:pt idx="123">
                  <c:v>44742.666666666599</c:v>
                </c:pt>
                <c:pt idx="124">
                  <c:v>44743.666666666599</c:v>
                </c:pt>
                <c:pt idx="125">
                  <c:v>44747.666666666599</c:v>
                </c:pt>
                <c:pt idx="126">
                  <c:v>44748.666666666599</c:v>
                </c:pt>
                <c:pt idx="127">
                  <c:v>44749.666666666599</c:v>
                </c:pt>
                <c:pt idx="128">
                  <c:v>44750.666666666599</c:v>
                </c:pt>
                <c:pt idx="129">
                  <c:v>44753.666666666599</c:v>
                </c:pt>
                <c:pt idx="130">
                  <c:v>44754.666666666599</c:v>
                </c:pt>
                <c:pt idx="131">
                  <c:v>44755.666666666599</c:v>
                </c:pt>
                <c:pt idx="132">
                  <c:v>44756.666666666599</c:v>
                </c:pt>
                <c:pt idx="133">
                  <c:v>44757.666666666599</c:v>
                </c:pt>
                <c:pt idx="134">
                  <c:v>44760.666666666599</c:v>
                </c:pt>
                <c:pt idx="135">
                  <c:v>44761.666666666599</c:v>
                </c:pt>
                <c:pt idx="136">
                  <c:v>44762.666666666599</c:v>
                </c:pt>
                <c:pt idx="137">
                  <c:v>44763.666666666599</c:v>
                </c:pt>
                <c:pt idx="138">
                  <c:v>44764.666666666599</c:v>
                </c:pt>
                <c:pt idx="139">
                  <c:v>44767.666666666599</c:v>
                </c:pt>
                <c:pt idx="140">
                  <c:v>44768.666666666599</c:v>
                </c:pt>
                <c:pt idx="141">
                  <c:v>44769.666666666599</c:v>
                </c:pt>
                <c:pt idx="142">
                  <c:v>44770.666666666599</c:v>
                </c:pt>
                <c:pt idx="143">
                  <c:v>44771.666666666599</c:v>
                </c:pt>
                <c:pt idx="144">
                  <c:v>44774.666666666599</c:v>
                </c:pt>
                <c:pt idx="145">
                  <c:v>44775.666666666599</c:v>
                </c:pt>
                <c:pt idx="146">
                  <c:v>44776.666666666599</c:v>
                </c:pt>
                <c:pt idx="147">
                  <c:v>44777.666666666599</c:v>
                </c:pt>
                <c:pt idx="148">
                  <c:v>44778.666666666599</c:v>
                </c:pt>
                <c:pt idx="149">
                  <c:v>44781.666666666599</c:v>
                </c:pt>
                <c:pt idx="150">
                  <c:v>44782.666666666599</c:v>
                </c:pt>
                <c:pt idx="151">
                  <c:v>44783.666666666599</c:v>
                </c:pt>
                <c:pt idx="152">
                  <c:v>44784.666666666599</c:v>
                </c:pt>
                <c:pt idx="153">
                  <c:v>44785.666666666599</c:v>
                </c:pt>
                <c:pt idx="154">
                  <c:v>44788.666666666599</c:v>
                </c:pt>
                <c:pt idx="155">
                  <c:v>44789.666666666599</c:v>
                </c:pt>
                <c:pt idx="156">
                  <c:v>44790.666666666599</c:v>
                </c:pt>
                <c:pt idx="157">
                  <c:v>44791.666666666599</c:v>
                </c:pt>
                <c:pt idx="158">
                  <c:v>44792.666666666599</c:v>
                </c:pt>
                <c:pt idx="159">
                  <c:v>44795.666666666599</c:v>
                </c:pt>
                <c:pt idx="160">
                  <c:v>44796.666666666599</c:v>
                </c:pt>
                <c:pt idx="161">
                  <c:v>44797.666666666599</c:v>
                </c:pt>
                <c:pt idx="162">
                  <c:v>44798.666666666599</c:v>
                </c:pt>
                <c:pt idx="163">
                  <c:v>44799.666666666599</c:v>
                </c:pt>
                <c:pt idx="164">
                  <c:v>44802.666666666599</c:v>
                </c:pt>
                <c:pt idx="165">
                  <c:v>44803.666666666599</c:v>
                </c:pt>
                <c:pt idx="166">
                  <c:v>44804.666666666599</c:v>
                </c:pt>
                <c:pt idx="167">
                  <c:v>44805.666666666599</c:v>
                </c:pt>
                <c:pt idx="168">
                  <c:v>44806.666666666599</c:v>
                </c:pt>
                <c:pt idx="169">
                  <c:v>44810.666666666599</c:v>
                </c:pt>
                <c:pt idx="170">
                  <c:v>44811.666666666599</c:v>
                </c:pt>
                <c:pt idx="171">
                  <c:v>44812.666666666599</c:v>
                </c:pt>
                <c:pt idx="172">
                  <c:v>44813.666666666599</c:v>
                </c:pt>
                <c:pt idx="173">
                  <c:v>44816.666666666599</c:v>
                </c:pt>
                <c:pt idx="174">
                  <c:v>44817.666666666599</c:v>
                </c:pt>
                <c:pt idx="175">
                  <c:v>44818.666666666599</c:v>
                </c:pt>
                <c:pt idx="176">
                  <c:v>44819.666666666599</c:v>
                </c:pt>
                <c:pt idx="177">
                  <c:v>44820.666666666599</c:v>
                </c:pt>
                <c:pt idx="178">
                  <c:v>44823.666666666599</c:v>
                </c:pt>
                <c:pt idx="179">
                  <c:v>44824.666666666599</c:v>
                </c:pt>
                <c:pt idx="180">
                  <c:v>44825.666666666599</c:v>
                </c:pt>
                <c:pt idx="181">
                  <c:v>44826.666666666599</c:v>
                </c:pt>
                <c:pt idx="182">
                  <c:v>44827.666666666599</c:v>
                </c:pt>
                <c:pt idx="183">
                  <c:v>44830.666666666599</c:v>
                </c:pt>
                <c:pt idx="184">
                  <c:v>44831.666666666599</c:v>
                </c:pt>
                <c:pt idx="185">
                  <c:v>44832.666666666599</c:v>
                </c:pt>
                <c:pt idx="186">
                  <c:v>44833.666666666599</c:v>
                </c:pt>
                <c:pt idx="187">
                  <c:v>44834.666666666599</c:v>
                </c:pt>
                <c:pt idx="188">
                  <c:v>44837.666666666599</c:v>
                </c:pt>
                <c:pt idx="189">
                  <c:v>44838.666666666599</c:v>
                </c:pt>
                <c:pt idx="190">
                  <c:v>44839.666666666599</c:v>
                </c:pt>
                <c:pt idx="191">
                  <c:v>44840.666666666599</c:v>
                </c:pt>
                <c:pt idx="192">
                  <c:v>44841.666666666599</c:v>
                </c:pt>
                <c:pt idx="193">
                  <c:v>44844.666666666599</c:v>
                </c:pt>
                <c:pt idx="194">
                  <c:v>44845.666666666599</c:v>
                </c:pt>
                <c:pt idx="195">
                  <c:v>44846.666666666599</c:v>
                </c:pt>
                <c:pt idx="196">
                  <c:v>44847.666666666599</c:v>
                </c:pt>
                <c:pt idx="197">
                  <c:v>44848.666666666599</c:v>
                </c:pt>
                <c:pt idx="198">
                  <c:v>44851.666666666599</c:v>
                </c:pt>
                <c:pt idx="199">
                  <c:v>44852.666666666599</c:v>
                </c:pt>
                <c:pt idx="200">
                  <c:v>44853.666666666599</c:v>
                </c:pt>
                <c:pt idx="201">
                  <c:v>44854.666666666599</c:v>
                </c:pt>
                <c:pt idx="202">
                  <c:v>44855.666666666599</c:v>
                </c:pt>
                <c:pt idx="203">
                  <c:v>44858.666666666599</c:v>
                </c:pt>
                <c:pt idx="204">
                  <c:v>44859.666666666599</c:v>
                </c:pt>
                <c:pt idx="205">
                  <c:v>44860.666666666599</c:v>
                </c:pt>
                <c:pt idx="206">
                  <c:v>44861.666666666599</c:v>
                </c:pt>
                <c:pt idx="207">
                  <c:v>44862.666666666599</c:v>
                </c:pt>
                <c:pt idx="208">
                  <c:v>44865.666666666599</c:v>
                </c:pt>
                <c:pt idx="209">
                  <c:v>44866.666666666599</c:v>
                </c:pt>
                <c:pt idx="210">
                  <c:v>44867.666666666599</c:v>
                </c:pt>
                <c:pt idx="211">
                  <c:v>44868.666666666599</c:v>
                </c:pt>
                <c:pt idx="212">
                  <c:v>44869.666666666599</c:v>
                </c:pt>
                <c:pt idx="213">
                  <c:v>44872.666666666599</c:v>
                </c:pt>
                <c:pt idx="214">
                  <c:v>44873.666666666599</c:v>
                </c:pt>
                <c:pt idx="215">
                  <c:v>44874.666666666599</c:v>
                </c:pt>
                <c:pt idx="216">
                  <c:v>44875.666666666599</c:v>
                </c:pt>
                <c:pt idx="217">
                  <c:v>44876.666666666599</c:v>
                </c:pt>
                <c:pt idx="218">
                  <c:v>44879.666666666599</c:v>
                </c:pt>
                <c:pt idx="219">
                  <c:v>44880.666666666599</c:v>
                </c:pt>
                <c:pt idx="220">
                  <c:v>44881.666666666599</c:v>
                </c:pt>
                <c:pt idx="221">
                  <c:v>44882.666666666599</c:v>
                </c:pt>
                <c:pt idx="222">
                  <c:v>44883.666666666599</c:v>
                </c:pt>
                <c:pt idx="223">
                  <c:v>44886.666666666599</c:v>
                </c:pt>
                <c:pt idx="224">
                  <c:v>44887.666666666599</c:v>
                </c:pt>
                <c:pt idx="225">
                  <c:v>44888.666666666599</c:v>
                </c:pt>
                <c:pt idx="226">
                  <c:v>44890.541666666599</c:v>
                </c:pt>
                <c:pt idx="227">
                  <c:v>44893.666666666599</c:v>
                </c:pt>
                <c:pt idx="228">
                  <c:v>44894.666666666599</c:v>
                </c:pt>
                <c:pt idx="229">
                  <c:v>44895.666666666599</c:v>
                </c:pt>
                <c:pt idx="230">
                  <c:v>44896.666666666599</c:v>
                </c:pt>
                <c:pt idx="231">
                  <c:v>44897.666666666599</c:v>
                </c:pt>
                <c:pt idx="232">
                  <c:v>44900.666666666599</c:v>
                </c:pt>
                <c:pt idx="233">
                  <c:v>44901.666666666599</c:v>
                </c:pt>
                <c:pt idx="234">
                  <c:v>44902.666666666599</c:v>
                </c:pt>
                <c:pt idx="235">
                  <c:v>44903.666666666599</c:v>
                </c:pt>
                <c:pt idx="236">
                  <c:v>44904.666666666599</c:v>
                </c:pt>
                <c:pt idx="237">
                  <c:v>44907.666666666599</c:v>
                </c:pt>
                <c:pt idx="238">
                  <c:v>44908.666666666599</c:v>
                </c:pt>
                <c:pt idx="239">
                  <c:v>44909.666666666599</c:v>
                </c:pt>
                <c:pt idx="240">
                  <c:v>44910.666666666599</c:v>
                </c:pt>
                <c:pt idx="241">
                  <c:v>44911.666666666599</c:v>
                </c:pt>
                <c:pt idx="242">
                  <c:v>44914.666666666599</c:v>
                </c:pt>
                <c:pt idx="243">
                  <c:v>44915.666666666599</c:v>
                </c:pt>
                <c:pt idx="244">
                  <c:v>44916.666666666599</c:v>
                </c:pt>
                <c:pt idx="245">
                  <c:v>44917.666666666599</c:v>
                </c:pt>
                <c:pt idx="246">
                  <c:v>44918.666666666599</c:v>
                </c:pt>
                <c:pt idx="247">
                  <c:v>44922.666666666599</c:v>
                </c:pt>
                <c:pt idx="248">
                  <c:v>44923.666666666599</c:v>
                </c:pt>
                <c:pt idx="249">
                  <c:v>44924.666666666599</c:v>
                </c:pt>
                <c:pt idx="250">
                  <c:v>44925.666666666599</c:v>
                </c:pt>
                <c:pt idx="251">
                  <c:v>44929.666666666599</c:v>
                </c:pt>
                <c:pt idx="252">
                  <c:v>44930.666666666599</c:v>
                </c:pt>
                <c:pt idx="253">
                  <c:v>44931.666666666599</c:v>
                </c:pt>
                <c:pt idx="254">
                  <c:v>44932.666666666599</c:v>
                </c:pt>
                <c:pt idx="255">
                  <c:v>44935.666666666599</c:v>
                </c:pt>
                <c:pt idx="256">
                  <c:v>44936.666666666599</c:v>
                </c:pt>
                <c:pt idx="257">
                  <c:v>44937.666666666599</c:v>
                </c:pt>
                <c:pt idx="258">
                  <c:v>44938.666666666599</c:v>
                </c:pt>
                <c:pt idx="259">
                  <c:v>44939.666666666599</c:v>
                </c:pt>
                <c:pt idx="260">
                  <c:v>44943.666666666599</c:v>
                </c:pt>
                <c:pt idx="261">
                  <c:v>44944.666666666599</c:v>
                </c:pt>
                <c:pt idx="262">
                  <c:v>44945.666666666599</c:v>
                </c:pt>
                <c:pt idx="263">
                  <c:v>44946.666666666599</c:v>
                </c:pt>
                <c:pt idx="264">
                  <c:v>44949.666666666599</c:v>
                </c:pt>
                <c:pt idx="265">
                  <c:v>44950.666666666599</c:v>
                </c:pt>
                <c:pt idx="266">
                  <c:v>44951.666666666599</c:v>
                </c:pt>
                <c:pt idx="267">
                  <c:v>44952.666666666599</c:v>
                </c:pt>
                <c:pt idx="268">
                  <c:v>44953.666666666599</c:v>
                </c:pt>
                <c:pt idx="269">
                  <c:v>44956.666666666599</c:v>
                </c:pt>
                <c:pt idx="270">
                  <c:v>44957.666666666599</c:v>
                </c:pt>
                <c:pt idx="271">
                  <c:v>44958.666666666599</c:v>
                </c:pt>
                <c:pt idx="272">
                  <c:v>44959.666666666599</c:v>
                </c:pt>
                <c:pt idx="273">
                  <c:v>44960.666666666599</c:v>
                </c:pt>
                <c:pt idx="274">
                  <c:v>44963.666666666599</c:v>
                </c:pt>
                <c:pt idx="275">
                  <c:v>44964.666666666599</c:v>
                </c:pt>
                <c:pt idx="276">
                  <c:v>44965.666666666599</c:v>
                </c:pt>
                <c:pt idx="277">
                  <c:v>44966.666666666599</c:v>
                </c:pt>
                <c:pt idx="278">
                  <c:v>44967.666666666599</c:v>
                </c:pt>
                <c:pt idx="279">
                  <c:v>44970.666666666599</c:v>
                </c:pt>
                <c:pt idx="280">
                  <c:v>44971.666666666599</c:v>
                </c:pt>
                <c:pt idx="281">
                  <c:v>44972.666666666599</c:v>
                </c:pt>
                <c:pt idx="282">
                  <c:v>44973.666666666599</c:v>
                </c:pt>
                <c:pt idx="283">
                  <c:v>44974.666666666599</c:v>
                </c:pt>
                <c:pt idx="284">
                  <c:v>44978.666666666599</c:v>
                </c:pt>
                <c:pt idx="285">
                  <c:v>44979.666666666599</c:v>
                </c:pt>
                <c:pt idx="286">
                  <c:v>44980.666666666599</c:v>
                </c:pt>
                <c:pt idx="287">
                  <c:v>44981.666666666599</c:v>
                </c:pt>
                <c:pt idx="288">
                  <c:v>44984.666666666599</c:v>
                </c:pt>
                <c:pt idx="289">
                  <c:v>44985.666666666599</c:v>
                </c:pt>
                <c:pt idx="290">
                  <c:v>44986.666666666599</c:v>
                </c:pt>
                <c:pt idx="291">
                  <c:v>44987.666666666599</c:v>
                </c:pt>
                <c:pt idx="292">
                  <c:v>44988.666666666599</c:v>
                </c:pt>
                <c:pt idx="293">
                  <c:v>44991.666666666599</c:v>
                </c:pt>
                <c:pt idx="294">
                  <c:v>44992.666666666599</c:v>
                </c:pt>
                <c:pt idx="295">
                  <c:v>44993.666666666599</c:v>
                </c:pt>
                <c:pt idx="296">
                  <c:v>44994.666666666599</c:v>
                </c:pt>
                <c:pt idx="297">
                  <c:v>44995.666666666599</c:v>
                </c:pt>
                <c:pt idx="298">
                  <c:v>44998.666666666599</c:v>
                </c:pt>
                <c:pt idx="299">
                  <c:v>44999.666666666599</c:v>
                </c:pt>
                <c:pt idx="300">
                  <c:v>45000.666666666599</c:v>
                </c:pt>
                <c:pt idx="301">
                  <c:v>45001.666666666599</c:v>
                </c:pt>
                <c:pt idx="302">
                  <c:v>45002.666666666599</c:v>
                </c:pt>
                <c:pt idx="303">
                  <c:v>45005.666666666599</c:v>
                </c:pt>
                <c:pt idx="304">
                  <c:v>45006.666666666599</c:v>
                </c:pt>
                <c:pt idx="305">
                  <c:v>45007.666666666599</c:v>
                </c:pt>
                <c:pt idx="306">
                  <c:v>45008.666666666599</c:v>
                </c:pt>
                <c:pt idx="307">
                  <c:v>45009.666666666599</c:v>
                </c:pt>
                <c:pt idx="308">
                  <c:v>45012.666666666599</c:v>
                </c:pt>
                <c:pt idx="309">
                  <c:v>45013.666666666599</c:v>
                </c:pt>
                <c:pt idx="310">
                  <c:v>45014.666666666599</c:v>
                </c:pt>
                <c:pt idx="311">
                  <c:v>45015.666666666599</c:v>
                </c:pt>
                <c:pt idx="312">
                  <c:v>45016.666666666599</c:v>
                </c:pt>
                <c:pt idx="313">
                  <c:v>45019.666666666599</c:v>
                </c:pt>
                <c:pt idx="314">
                  <c:v>45020.666666666599</c:v>
                </c:pt>
                <c:pt idx="315">
                  <c:v>45021.666666666599</c:v>
                </c:pt>
                <c:pt idx="316">
                  <c:v>45022.666666666599</c:v>
                </c:pt>
                <c:pt idx="317">
                  <c:v>45026.666666666599</c:v>
                </c:pt>
                <c:pt idx="318">
                  <c:v>45027.666666666599</c:v>
                </c:pt>
                <c:pt idx="319">
                  <c:v>45028.666666666599</c:v>
                </c:pt>
                <c:pt idx="320">
                  <c:v>45029.666666666599</c:v>
                </c:pt>
                <c:pt idx="321">
                  <c:v>45030.666666666599</c:v>
                </c:pt>
                <c:pt idx="322">
                  <c:v>45033.666666666599</c:v>
                </c:pt>
                <c:pt idx="323">
                  <c:v>45034.666666666599</c:v>
                </c:pt>
                <c:pt idx="324">
                  <c:v>45035.666666666599</c:v>
                </c:pt>
                <c:pt idx="325">
                  <c:v>45036.666666666599</c:v>
                </c:pt>
                <c:pt idx="326">
                  <c:v>45037.666666666599</c:v>
                </c:pt>
                <c:pt idx="327">
                  <c:v>45040.666666666599</c:v>
                </c:pt>
                <c:pt idx="328">
                  <c:v>45041.666666666599</c:v>
                </c:pt>
                <c:pt idx="329">
                  <c:v>45042.666666666599</c:v>
                </c:pt>
                <c:pt idx="330">
                  <c:v>45043.666666666599</c:v>
                </c:pt>
                <c:pt idx="331">
                  <c:v>45044.666666666599</c:v>
                </c:pt>
                <c:pt idx="332">
                  <c:v>45047.666666666599</c:v>
                </c:pt>
                <c:pt idx="333">
                  <c:v>45048.666666666599</c:v>
                </c:pt>
                <c:pt idx="334">
                  <c:v>45049.666666666599</c:v>
                </c:pt>
                <c:pt idx="335">
                  <c:v>45050.666666666599</c:v>
                </c:pt>
                <c:pt idx="336">
                  <c:v>45051.666666666599</c:v>
                </c:pt>
                <c:pt idx="337">
                  <c:v>45054.666666666599</c:v>
                </c:pt>
                <c:pt idx="338">
                  <c:v>45055.666666666599</c:v>
                </c:pt>
                <c:pt idx="339">
                  <c:v>45056.666666666599</c:v>
                </c:pt>
                <c:pt idx="340">
                  <c:v>45057.666666666599</c:v>
                </c:pt>
                <c:pt idx="341">
                  <c:v>45058.666666666599</c:v>
                </c:pt>
                <c:pt idx="342">
                  <c:v>45061.666666666599</c:v>
                </c:pt>
                <c:pt idx="343">
                  <c:v>45062.666666666599</c:v>
                </c:pt>
                <c:pt idx="344">
                  <c:v>45063.666666666599</c:v>
                </c:pt>
                <c:pt idx="345">
                  <c:v>45064.666666666599</c:v>
                </c:pt>
                <c:pt idx="346">
                  <c:v>45065.666666666599</c:v>
                </c:pt>
                <c:pt idx="347">
                  <c:v>45068.666666666599</c:v>
                </c:pt>
                <c:pt idx="348">
                  <c:v>45069.666666666599</c:v>
                </c:pt>
                <c:pt idx="349">
                  <c:v>45070.666666666599</c:v>
                </c:pt>
                <c:pt idx="350">
                  <c:v>45071.666666666599</c:v>
                </c:pt>
                <c:pt idx="351">
                  <c:v>45072.666666666599</c:v>
                </c:pt>
                <c:pt idx="352">
                  <c:v>45076.666666666599</c:v>
                </c:pt>
                <c:pt idx="353">
                  <c:v>45077.666666666599</c:v>
                </c:pt>
                <c:pt idx="354">
                  <c:v>45078.666666666599</c:v>
                </c:pt>
                <c:pt idx="355">
                  <c:v>45079.666666666599</c:v>
                </c:pt>
                <c:pt idx="356">
                  <c:v>45082.666666666599</c:v>
                </c:pt>
                <c:pt idx="357">
                  <c:v>45083.666666666599</c:v>
                </c:pt>
                <c:pt idx="358">
                  <c:v>45084.666666666599</c:v>
                </c:pt>
                <c:pt idx="359">
                  <c:v>45085.666666666599</c:v>
                </c:pt>
                <c:pt idx="360">
                  <c:v>45086.666666666599</c:v>
                </c:pt>
                <c:pt idx="361">
                  <c:v>45089.666666666599</c:v>
                </c:pt>
                <c:pt idx="362">
                  <c:v>45090.666666666599</c:v>
                </c:pt>
                <c:pt idx="363">
                  <c:v>45091.666666666599</c:v>
                </c:pt>
                <c:pt idx="364">
                  <c:v>45092.666666666599</c:v>
                </c:pt>
                <c:pt idx="365">
                  <c:v>45093.666666666599</c:v>
                </c:pt>
                <c:pt idx="366">
                  <c:v>45097.666666666599</c:v>
                </c:pt>
                <c:pt idx="367">
                  <c:v>45098.666666666599</c:v>
                </c:pt>
                <c:pt idx="368">
                  <c:v>45099.666666666599</c:v>
                </c:pt>
                <c:pt idx="369">
                  <c:v>45100.666666666599</c:v>
                </c:pt>
                <c:pt idx="370">
                  <c:v>45103.666666666599</c:v>
                </c:pt>
                <c:pt idx="371">
                  <c:v>45104.666666666599</c:v>
                </c:pt>
                <c:pt idx="372">
                  <c:v>45105.666666666599</c:v>
                </c:pt>
                <c:pt idx="373">
                  <c:v>45106.666666666599</c:v>
                </c:pt>
                <c:pt idx="374">
                  <c:v>45107.666666666599</c:v>
                </c:pt>
                <c:pt idx="375">
                  <c:v>45110.541666666599</c:v>
                </c:pt>
                <c:pt idx="376">
                  <c:v>45112.666666666599</c:v>
                </c:pt>
                <c:pt idx="377">
                  <c:v>45113.666666666599</c:v>
                </c:pt>
                <c:pt idx="378">
                  <c:v>45114.666666666599</c:v>
                </c:pt>
                <c:pt idx="379">
                  <c:v>45117.666666666599</c:v>
                </c:pt>
                <c:pt idx="380">
                  <c:v>45118.666666666599</c:v>
                </c:pt>
                <c:pt idx="381">
                  <c:v>45119.666666666599</c:v>
                </c:pt>
                <c:pt idx="382">
                  <c:v>45120.666666666599</c:v>
                </c:pt>
                <c:pt idx="383">
                  <c:v>45121.666666666599</c:v>
                </c:pt>
                <c:pt idx="384">
                  <c:v>45124.666666666599</c:v>
                </c:pt>
                <c:pt idx="385">
                  <c:v>45125.666666666599</c:v>
                </c:pt>
                <c:pt idx="386">
                  <c:v>45126.666666666599</c:v>
                </c:pt>
                <c:pt idx="387">
                  <c:v>45127.666666666599</c:v>
                </c:pt>
                <c:pt idx="388">
                  <c:v>45128.666666666599</c:v>
                </c:pt>
                <c:pt idx="389">
                  <c:v>45131.666666666599</c:v>
                </c:pt>
                <c:pt idx="390">
                  <c:v>45132.666666666599</c:v>
                </c:pt>
                <c:pt idx="391">
                  <c:v>45133.666666666599</c:v>
                </c:pt>
                <c:pt idx="392">
                  <c:v>45134.666666666599</c:v>
                </c:pt>
                <c:pt idx="393">
                  <c:v>45135.666666666599</c:v>
                </c:pt>
                <c:pt idx="394">
                  <c:v>45138.666666666599</c:v>
                </c:pt>
                <c:pt idx="395">
                  <c:v>45139.666666666599</c:v>
                </c:pt>
                <c:pt idx="396">
                  <c:v>45140.666666666599</c:v>
                </c:pt>
                <c:pt idx="397">
                  <c:v>45141.666666666599</c:v>
                </c:pt>
                <c:pt idx="398">
                  <c:v>45142.666666666599</c:v>
                </c:pt>
                <c:pt idx="399">
                  <c:v>45145.666666666599</c:v>
                </c:pt>
                <c:pt idx="400">
                  <c:v>45146.666666666599</c:v>
                </c:pt>
                <c:pt idx="401">
                  <c:v>45147.666666666599</c:v>
                </c:pt>
                <c:pt idx="402">
                  <c:v>45148.666666666599</c:v>
                </c:pt>
                <c:pt idx="403">
                  <c:v>45149.666666666599</c:v>
                </c:pt>
                <c:pt idx="404">
                  <c:v>45152.666666666599</c:v>
                </c:pt>
                <c:pt idx="405">
                  <c:v>45153.666666666599</c:v>
                </c:pt>
                <c:pt idx="406">
                  <c:v>45154.666666666599</c:v>
                </c:pt>
                <c:pt idx="407">
                  <c:v>45155.666666666599</c:v>
                </c:pt>
                <c:pt idx="408">
                  <c:v>45156.666666666599</c:v>
                </c:pt>
                <c:pt idx="409">
                  <c:v>45159.666666666599</c:v>
                </c:pt>
                <c:pt idx="410">
                  <c:v>45160.666666666599</c:v>
                </c:pt>
                <c:pt idx="411">
                  <c:v>45161.666666666599</c:v>
                </c:pt>
                <c:pt idx="412">
                  <c:v>45162.666666666599</c:v>
                </c:pt>
                <c:pt idx="413">
                  <c:v>45163.666666666599</c:v>
                </c:pt>
                <c:pt idx="414">
                  <c:v>45166.666666666599</c:v>
                </c:pt>
                <c:pt idx="415">
                  <c:v>45167.666666666599</c:v>
                </c:pt>
                <c:pt idx="416">
                  <c:v>45168.666666666599</c:v>
                </c:pt>
                <c:pt idx="417">
                  <c:v>45169.666666666599</c:v>
                </c:pt>
                <c:pt idx="418">
                  <c:v>45170.666666666599</c:v>
                </c:pt>
                <c:pt idx="419">
                  <c:v>45174.666666666599</c:v>
                </c:pt>
                <c:pt idx="420">
                  <c:v>45175.666666666599</c:v>
                </c:pt>
                <c:pt idx="421">
                  <c:v>45176.666666666599</c:v>
                </c:pt>
                <c:pt idx="422">
                  <c:v>45177.666666666599</c:v>
                </c:pt>
                <c:pt idx="423">
                  <c:v>45180.666666666599</c:v>
                </c:pt>
                <c:pt idx="424">
                  <c:v>45181.666666666599</c:v>
                </c:pt>
                <c:pt idx="425">
                  <c:v>45182.666666666599</c:v>
                </c:pt>
                <c:pt idx="426">
                  <c:v>45183.666666666599</c:v>
                </c:pt>
                <c:pt idx="427">
                  <c:v>45184.666666666599</c:v>
                </c:pt>
                <c:pt idx="428">
                  <c:v>45187.666666666599</c:v>
                </c:pt>
                <c:pt idx="429">
                  <c:v>45188.666666666599</c:v>
                </c:pt>
                <c:pt idx="430">
                  <c:v>45189.666666666599</c:v>
                </c:pt>
                <c:pt idx="431">
                  <c:v>45190.666666666599</c:v>
                </c:pt>
                <c:pt idx="432">
                  <c:v>45191.666666666599</c:v>
                </c:pt>
                <c:pt idx="433">
                  <c:v>45194.666666666599</c:v>
                </c:pt>
                <c:pt idx="434">
                  <c:v>45195.666666666599</c:v>
                </c:pt>
                <c:pt idx="435">
                  <c:v>45196.666666666599</c:v>
                </c:pt>
                <c:pt idx="436">
                  <c:v>45197.666666666599</c:v>
                </c:pt>
                <c:pt idx="437">
                  <c:v>45198.666666666599</c:v>
                </c:pt>
                <c:pt idx="438">
                  <c:v>45201.666666666599</c:v>
                </c:pt>
                <c:pt idx="439">
                  <c:v>45202.666666666599</c:v>
                </c:pt>
                <c:pt idx="440">
                  <c:v>45203.666666666599</c:v>
                </c:pt>
                <c:pt idx="441">
                  <c:v>45204.666666666599</c:v>
                </c:pt>
                <c:pt idx="442">
                  <c:v>45205.666666666599</c:v>
                </c:pt>
                <c:pt idx="443">
                  <c:v>45208.666666666599</c:v>
                </c:pt>
                <c:pt idx="444">
                  <c:v>45209.666666666599</c:v>
                </c:pt>
                <c:pt idx="445">
                  <c:v>45210.666666666599</c:v>
                </c:pt>
                <c:pt idx="446">
                  <c:v>45211.666666666599</c:v>
                </c:pt>
                <c:pt idx="447">
                  <c:v>45212.666666666599</c:v>
                </c:pt>
                <c:pt idx="448">
                  <c:v>45215.666666666599</c:v>
                </c:pt>
                <c:pt idx="449">
                  <c:v>45216.666666666599</c:v>
                </c:pt>
                <c:pt idx="450">
                  <c:v>45217.666666666599</c:v>
                </c:pt>
                <c:pt idx="451">
                  <c:v>45218.666666666599</c:v>
                </c:pt>
                <c:pt idx="452">
                  <c:v>45219.666666666599</c:v>
                </c:pt>
                <c:pt idx="453">
                  <c:v>45222.666666666599</c:v>
                </c:pt>
                <c:pt idx="454">
                  <c:v>45223.666666666599</c:v>
                </c:pt>
                <c:pt idx="455">
                  <c:v>45224.666666666599</c:v>
                </c:pt>
                <c:pt idx="456">
                  <c:v>45225.666666666599</c:v>
                </c:pt>
                <c:pt idx="457">
                  <c:v>45226.666666666599</c:v>
                </c:pt>
                <c:pt idx="458">
                  <c:v>45229.666666666599</c:v>
                </c:pt>
                <c:pt idx="459">
                  <c:v>45230.666666666599</c:v>
                </c:pt>
                <c:pt idx="460">
                  <c:v>45231.666666666599</c:v>
                </c:pt>
                <c:pt idx="461">
                  <c:v>45232.666666666599</c:v>
                </c:pt>
                <c:pt idx="462">
                  <c:v>45233.666666666599</c:v>
                </c:pt>
                <c:pt idx="463">
                  <c:v>45236.666666666599</c:v>
                </c:pt>
                <c:pt idx="464">
                  <c:v>45237.666666666599</c:v>
                </c:pt>
                <c:pt idx="465">
                  <c:v>45238.666666666599</c:v>
                </c:pt>
                <c:pt idx="466">
                  <c:v>45239.666666666599</c:v>
                </c:pt>
                <c:pt idx="467">
                  <c:v>45240.666666666599</c:v>
                </c:pt>
                <c:pt idx="468">
                  <c:v>45243.666666666599</c:v>
                </c:pt>
                <c:pt idx="469">
                  <c:v>45244.666666666599</c:v>
                </c:pt>
                <c:pt idx="470">
                  <c:v>45245.666666666599</c:v>
                </c:pt>
                <c:pt idx="471">
                  <c:v>45246.666666666599</c:v>
                </c:pt>
                <c:pt idx="472">
                  <c:v>45247.666666666599</c:v>
                </c:pt>
                <c:pt idx="473">
                  <c:v>45250.666666666599</c:v>
                </c:pt>
                <c:pt idx="474">
                  <c:v>45251.666666666599</c:v>
                </c:pt>
                <c:pt idx="475">
                  <c:v>45252.666666666599</c:v>
                </c:pt>
                <c:pt idx="476">
                  <c:v>45254.541666666599</c:v>
                </c:pt>
                <c:pt idx="477">
                  <c:v>45257.666666666599</c:v>
                </c:pt>
                <c:pt idx="478">
                  <c:v>45258.666666666599</c:v>
                </c:pt>
                <c:pt idx="479">
                  <c:v>45259.666666666599</c:v>
                </c:pt>
                <c:pt idx="480">
                  <c:v>45260.666666666599</c:v>
                </c:pt>
                <c:pt idx="481">
                  <c:v>45261.666666666599</c:v>
                </c:pt>
                <c:pt idx="482">
                  <c:v>45264.666666666599</c:v>
                </c:pt>
                <c:pt idx="483">
                  <c:v>45265.666666666599</c:v>
                </c:pt>
                <c:pt idx="484">
                  <c:v>45266.666666666599</c:v>
                </c:pt>
                <c:pt idx="485">
                  <c:v>45267.666666666599</c:v>
                </c:pt>
                <c:pt idx="486">
                  <c:v>45268.666666666599</c:v>
                </c:pt>
                <c:pt idx="487">
                  <c:v>45271.666666666599</c:v>
                </c:pt>
                <c:pt idx="488">
                  <c:v>45272.666666666599</c:v>
                </c:pt>
                <c:pt idx="489">
                  <c:v>45273.666666666599</c:v>
                </c:pt>
                <c:pt idx="490">
                  <c:v>45274.666666666599</c:v>
                </c:pt>
                <c:pt idx="491">
                  <c:v>45275.666666666599</c:v>
                </c:pt>
                <c:pt idx="492">
                  <c:v>45278.666666666599</c:v>
                </c:pt>
                <c:pt idx="493">
                  <c:v>45279.666666666599</c:v>
                </c:pt>
                <c:pt idx="494">
                  <c:v>45280.666666666599</c:v>
                </c:pt>
                <c:pt idx="495">
                  <c:v>45281.666666666599</c:v>
                </c:pt>
                <c:pt idx="496">
                  <c:v>45282.666666666599</c:v>
                </c:pt>
                <c:pt idx="497">
                  <c:v>45286.666666666599</c:v>
                </c:pt>
                <c:pt idx="498">
                  <c:v>45287.666666666599</c:v>
                </c:pt>
                <c:pt idx="499">
                  <c:v>45288.666666666599</c:v>
                </c:pt>
                <c:pt idx="500">
                  <c:v>45289.666666666599</c:v>
                </c:pt>
                <c:pt idx="501">
                  <c:v>45293.666666666599</c:v>
                </c:pt>
                <c:pt idx="502">
                  <c:v>45294.666666666599</c:v>
                </c:pt>
                <c:pt idx="503">
                  <c:v>45295.666666666599</c:v>
                </c:pt>
                <c:pt idx="504">
                  <c:v>45296.666666666599</c:v>
                </c:pt>
                <c:pt idx="505">
                  <c:v>45299.666666666599</c:v>
                </c:pt>
                <c:pt idx="506">
                  <c:v>45300.666666666599</c:v>
                </c:pt>
                <c:pt idx="507">
                  <c:v>45301.666666666599</c:v>
                </c:pt>
                <c:pt idx="508">
                  <c:v>45302.666666666599</c:v>
                </c:pt>
                <c:pt idx="509">
                  <c:v>45303.666666666599</c:v>
                </c:pt>
                <c:pt idx="510">
                  <c:v>45307.666666666599</c:v>
                </c:pt>
                <c:pt idx="511">
                  <c:v>45308.666666666599</c:v>
                </c:pt>
                <c:pt idx="512">
                  <c:v>45309.666666666599</c:v>
                </c:pt>
                <c:pt idx="513">
                  <c:v>45310.666666666599</c:v>
                </c:pt>
                <c:pt idx="514">
                  <c:v>45313.666666666599</c:v>
                </c:pt>
                <c:pt idx="515">
                  <c:v>45314.666666666599</c:v>
                </c:pt>
                <c:pt idx="516">
                  <c:v>45315.666666666599</c:v>
                </c:pt>
                <c:pt idx="517">
                  <c:v>45316.666666666599</c:v>
                </c:pt>
                <c:pt idx="518">
                  <c:v>45317.666666666599</c:v>
                </c:pt>
                <c:pt idx="519">
                  <c:v>45320.666666666599</c:v>
                </c:pt>
                <c:pt idx="520">
                  <c:v>45321.666666666599</c:v>
                </c:pt>
                <c:pt idx="521">
                  <c:v>45322.666666666599</c:v>
                </c:pt>
                <c:pt idx="522">
                  <c:v>45323.666666666599</c:v>
                </c:pt>
                <c:pt idx="523">
                  <c:v>45324.666666666599</c:v>
                </c:pt>
                <c:pt idx="524">
                  <c:v>45327.666666666599</c:v>
                </c:pt>
                <c:pt idx="525">
                  <c:v>45328.666666666599</c:v>
                </c:pt>
                <c:pt idx="526">
                  <c:v>45329.666666666599</c:v>
                </c:pt>
                <c:pt idx="527">
                  <c:v>45330.666666666599</c:v>
                </c:pt>
                <c:pt idx="528">
                  <c:v>45331.666666666599</c:v>
                </c:pt>
                <c:pt idx="529">
                  <c:v>45334.666666666599</c:v>
                </c:pt>
                <c:pt idx="530">
                  <c:v>45335.666666666599</c:v>
                </c:pt>
                <c:pt idx="531">
                  <c:v>45336.666666666599</c:v>
                </c:pt>
                <c:pt idx="532">
                  <c:v>45337.666666666599</c:v>
                </c:pt>
                <c:pt idx="533">
                  <c:v>45338.666666666599</c:v>
                </c:pt>
                <c:pt idx="534">
                  <c:v>45342.666666666599</c:v>
                </c:pt>
                <c:pt idx="535">
                  <c:v>45343.666666666599</c:v>
                </c:pt>
                <c:pt idx="536">
                  <c:v>45344.666666666599</c:v>
                </c:pt>
                <c:pt idx="537">
                  <c:v>45345.666666666599</c:v>
                </c:pt>
                <c:pt idx="538">
                  <c:v>45348.666666666599</c:v>
                </c:pt>
                <c:pt idx="539">
                  <c:v>45349.666666666599</c:v>
                </c:pt>
                <c:pt idx="540">
                  <c:v>45350.666666666599</c:v>
                </c:pt>
                <c:pt idx="541">
                  <c:v>45351.666666666599</c:v>
                </c:pt>
                <c:pt idx="542">
                  <c:v>45352.666666666599</c:v>
                </c:pt>
                <c:pt idx="543">
                  <c:v>45355.666666666599</c:v>
                </c:pt>
                <c:pt idx="544">
                  <c:v>45356.666666666599</c:v>
                </c:pt>
                <c:pt idx="545">
                  <c:v>45357.666666666599</c:v>
                </c:pt>
                <c:pt idx="546">
                  <c:v>45358.666666666599</c:v>
                </c:pt>
                <c:pt idx="547">
                  <c:v>45359.666666666599</c:v>
                </c:pt>
                <c:pt idx="548">
                  <c:v>45362.666666666599</c:v>
                </c:pt>
                <c:pt idx="549">
                  <c:v>45363.666666666599</c:v>
                </c:pt>
                <c:pt idx="550">
                  <c:v>45364.666666666599</c:v>
                </c:pt>
                <c:pt idx="551">
                  <c:v>45365.666666666599</c:v>
                </c:pt>
                <c:pt idx="552">
                  <c:v>45366.666666666599</c:v>
                </c:pt>
                <c:pt idx="553">
                  <c:v>45369.666666666599</c:v>
                </c:pt>
                <c:pt idx="554">
                  <c:v>45370.666666666599</c:v>
                </c:pt>
                <c:pt idx="555">
                  <c:v>45371.666666666599</c:v>
                </c:pt>
                <c:pt idx="556">
                  <c:v>45372.666666666599</c:v>
                </c:pt>
                <c:pt idx="557">
                  <c:v>45373.666666666599</c:v>
                </c:pt>
                <c:pt idx="558">
                  <c:v>45376.666666666599</c:v>
                </c:pt>
                <c:pt idx="559">
                  <c:v>45377.666666666599</c:v>
                </c:pt>
                <c:pt idx="560">
                  <c:v>45378.666666666599</c:v>
                </c:pt>
                <c:pt idx="561">
                  <c:v>45379.666666666599</c:v>
                </c:pt>
                <c:pt idx="562">
                  <c:v>45383.666666666599</c:v>
                </c:pt>
                <c:pt idx="563">
                  <c:v>45384.666666666599</c:v>
                </c:pt>
                <c:pt idx="564">
                  <c:v>45385.666666666599</c:v>
                </c:pt>
                <c:pt idx="565">
                  <c:v>45386.666666666599</c:v>
                </c:pt>
                <c:pt idx="566">
                  <c:v>45387.666666666599</c:v>
                </c:pt>
                <c:pt idx="567">
                  <c:v>45390.666666666599</c:v>
                </c:pt>
                <c:pt idx="568">
                  <c:v>45391.666666666599</c:v>
                </c:pt>
                <c:pt idx="569">
                  <c:v>45392.666666666599</c:v>
                </c:pt>
                <c:pt idx="570">
                  <c:v>45393.666666666599</c:v>
                </c:pt>
                <c:pt idx="571">
                  <c:v>45394.666666666599</c:v>
                </c:pt>
                <c:pt idx="572">
                  <c:v>45397.666666666599</c:v>
                </c:pt>
                <c:pt idx="573">
                  <c:v>45398.666666666599</c:v>
                </c:pt>
                <c:pt idx="574">
                  <c:v>45399.666666666599</c:v>
                </c:pt>
                <c:pt idx="575">
                  <c:v>45400.666666666599</c:v>
                </c:pt>
                <c:pt idx="576">
                  <c:v>45401.666666666599</c:v>
                </c:pt>
                <c:pt idx="577">
                  <c:v>45404.666666666599</c:v>
                </c:pt>
                <c:pt idx="578">
                  <c:v>45405.666666666599</c:v>
                </c:pt>
                <c:pt idx="579">
                  <c:v>45406.666666666599</c:v>
                </c:pt>
                <c:pt idx="580">
                  <c:v>45407.666666666599</c:v>
                </c:pt>
                <c:pt idx="581">
                  <c:v>45408.666666666599</c:v>
                </c:pt>
                <c:pt idx="582">
                  <c:v>45411.666666666599</c:v>
                </c:pt>
                <c:pt idx="583">
                  <c:v>45412.666666666599</c:v>
                </c:pt>
                <c:pt idx="584">
                  <c:v>45413.666666666599</c:v>
                </c:pt>
                <c:pt idx="585">
                  <c:v>45414.666666666599</c:v>
                </c:pt>
                <c:pt idx="586">
                  <c:v>45415.666666666599</c:v>
                </c:pt>
                <c:pt idx="587">
                  <c:v>45418.666666666599</c:v>
                </c:pt>
                <c:pt idx="588">
                  <c:v>45419.666666666599</c:v>
                </c:pt>
                <c:pt idx="589">
                  <c:v>45420.666666666599</c:v>
                </c:pt>
                <c:pt idx="590">
                  <c:v>45421.666666666599</c:v>
                </c:pt>
                <c:pt idx="591">
                  <c:v>45422.666666666599</c:v>
                </c:pt>
                <c:pt idx="592">
                  <c:v>45425.666666666599</c:v>
                </c:pt>
                <c:pt idx="593">
                  <c:v>45426.666666666599</c:v>
                </c:pt>
                <c:pt idx="594">
                  <c:v>45427.666666666599</c:v>
                </c:pt>
                <c:pt idx="595">
                  <c:v>45428.666666666599</c:v>
                </c:pt>
                <c:pt idx="596">
                  <c:v>45429.666666666599</c:v>
                </c:pt>
                <c:pt idx="597">
                  <c:v>45432.666666666599</c:v>
                </c:pt>
                <c:pt idx="598">
                  <c:v>45433.666666666599</c:v>
                </c:pt>
                <c:pt idx="599">
                  <c:v>45434.666666666599</c:v>
                </c:pt>
                <c:pt idx="600">
                  <c:v>45435.666666666599</c:v>
                </c:pt>
                <c:pt idx="601">
                  <c:v>45436.666666666599</c:v>
                </c:pt>
                <c:pt idx="602">
                  <c:v>45440.666666666599</c:v>
                </c:pt>
                <c:pt idx="603">
                  <c:v>45441.666666666599</c:v>
                </c:pt>
                <c:pt idx="604">
                  <c:v>45442.666666666599</c:v>
                </c:pt>
                <c:pt idx="605">
                  <c:v>45443.666666666599</c:v>
                </c:pt>
                <c:pt idx="606">
                  <c:v>45446.666666666599</c:v>
                </c:pt>
                <c:pt idx="607">
                  <c:v>45447.666666666599</c:v>
                </c:pt>
                <c:pt idx="608">
                  <c:v>45448.666666666599</c:v>
                </c:pt>
                <c:pt idx="609">
                  <c:v>45449.666666666599</c:v>
                </c:pt>
                <c:pt idx="610">
                  <c:v>45450.666666666599</c:v>
                </c:pt>
                <c:pt idx="611">
                  <c:v>45453.666666666599</c:v>
                </c:pt>
                <c:pt idx="612">
                  <c:v>45454.666666666599</c:v>
                </c:pt>
                <c:pt idx="613">
                  <c:v>45455.666666666599</c:v>
                </c:pt>
                <c:pt idx="614">
                  <c:v>45456.666666666599</c:v>
                </c:pt>
                <c:pt idx="615">
                  <c:v>45457.666666666599</c:v>
                </c:pt>
                <c:pt idx="616">
                  <c:v>45460.666666666599</c:v>
                </c:pt>
                <c:pt idx="617">
                  <c:v>45461.666666666599</c:v>
                </c:pt>
                <c:pt idx="618">
                  <c:v>45463.666666666599</c:v>
                </c:pt>
                <c:pt idx="619">
                  <c:v>45464.666666666599</c:v>
                </c:pt>
                <c:pt idx="620">
                  <c:v>45467.666666666599</c:v>
                </c:pt>
                <c:pt idx="621">
                  <c:v>45468.666666666599</c:v>
                </c:pt>
                <c:pt idx="622">
                  <c:v>45469.666666666599</c:v>
                </c:pt>
                <c:pt idx="623">
                  <c:v>45470.666666666599</c:v>
                </c:pt>
                <c:pt idx="624">
                  <c:v>45471.666666666599</c:v>
                </c:pt>
                <c:pt idx="625">
                  <c:v>45474.666666666599</c:v>
                </c:pt>
                <c:pt idx="626">
                  <c:v>45475.666666666599</c:v>
                </c:pt>
                <c:pt idx="627">
                  <c:v>45476.541666666599</c:v>
                </c:pt>
                <c:pt idx="628">
                  <c:v>45478.666666666599</c:v>
                </c:pt>
                <c:pt idx="629">
                  <c:v>45481.666666666599</c:v>
                </c:pt>
                <c:pt idx="630">
                  <c:v>45482.666666666599</c:v>
                </c:pt>
                <c:pt idx="631">
                  <c:v>45483.666666666599</c:v>
                </c:pt>
                <c:pt idx="632">
                  <c:v>45484.666666666599</c:v>
                </c:pt>
                <c:pt idx="633">
                  <c:v>45485.666666666599</c:v>
                </c:pt>
                <c:pt idx="634">
                  <c:v>45488.666666666599</c:v>
                </c:pt>
                <c:pt idx="635">
                  <c:v>45489.666666666599</c:v>
                </c:pt>
                <c:pt idx="636">
                  <c:v>45490.666666666599</c:v>
                </c:pt>
                <c:pt idx="637">
                  <c:v>45491.666666666599</c:v>
                </c:pt>
                <c:pt idx="638">
                  <c:v>45492.666666666599</c:v>
                </c:pt>
                <c:pt idx="639">
                  <c:v>45495.666666666599</c:v>
                </c:pt>
                <c:pt idx="640">
                  <c:v>45496.666666666599</c:v>
                </c:pt>
                <c:pt idx="641">
                  <c:v>45497.666666666599</c:v>
                </c:pt>
                <c:pt idx="642">
                  <c:v>45498.666666666599</c:v>
                </c:pt>
                <c:pt idx="643">
                  <c:v>45499.666666666599</c:v>
                </c:pt>
                <c:pt idx="644">
                  <c:v>45502.666666666599</c:v>
                </c:pt>
                <c:pt idx="645">
                  <c:v>45503.666666666599</c:v>
                </c:pt>
                <c:pt idx="646">
                  <c:v>45504.666666666599</c:v>
                </c:pt>
                <c:pt idx="647">
                  <c:v>45505.666666666599</c:v>
                </c:pt>
                <c:pt idx="648">
                  <c:v>45506.666666666599</c:v>
                </c:pt>
                <c:pt idx="649">
                  <c:v>45509.666666666599</c:v>
                </c:pt>
                <c:pt idx="650">
                  <c:v>45510.666666666599</c:v>
                </c:pt>
                <c:pt idx="651">
                  <c:v>45511.666666666599</c:v>
                </c:pt>
                <c:pt idx="652">
                  <c:v>45512.666666666599</c:v>
                </c:pt>
                <c:pt idx="653">
                  <c:v>45513.666666666599</c:v>
                </c:pt>
                <c:pt idx="654">
                  <c:v>45516.666666666599</c:v>
                </c:pt>
                <c:pt idx="655">
                  <c:v>45517.666666666599</c:v>
                </c:pt>
                <c:pt idx="656">
                  <c:v>45518.666666666599</c:v>
                </c:pt>
                <c:pt idx="657">
                  <c:v>45519.666666666599</c:v>
                </c:pt>
                <c:pt idx="658">
                  <c:v>45520.666666666599</c:v>
                </c:pt>
                <c:pt idx="659">
                  <c:v>45523.666666666599</c:v>
                </c:pt>
                <c:pt idx="660">
                  <c:v>45524.666666666599</c:v>
                </c:pt>
                <c:pt idx="661">
                  <c:v>45525.666666666599</c:v>
                </c:pt>
                <c:pt idx="662">
                  <c:v>45526.666666666599</c:v>
                </c:pt>
                <c:pt idx="663">
                  <c:v>45527.666666666599</c:v>
                </c:pt>
                <c:pt idx="664">
                  <c:v>45530.666666666599</c:v>
                </c:pt>
                <c:pt idx="665">
                  <c:v>45531.666666666599</c:v>
                </c:pt>
                <c:pt idx="666">
                  <c:v>45532.666666666599</c:v>
                </c:pt>
                <c:pt idx="667">
                  <c:v>45533.666666666599</c:v>
                </c:pt>
                <c:pt idx="668">
                  <c:v>45534.666666666599</c:v>
                </c:pt>
                <c:pt idx="669">
                  <c:v>45538.666666666599</c:v>
                </c:pt>
                <c:pt idx="670">
                  <c:v>45539.666666666599</c:v>
                </c:pt>
                <c:pt idx="671">
                  <c:v>45540.666666666599</c:v>
                </c:pt>
                <c:pt idx="672">
                  <c:v>45541.666666666599</c:v>
                </c:pt>
                <c:pt idx="673">
                  <c:v>45544.666666666599</c:v>
                </c:pt>
                <c:pt idx="674">
                  <c:v>45545.666666666599</c:v>
                </c:pt>
                <c:pt idx="675">
                  <c:v>45546.666666666599</c:v>
                </c:pt>
                <c:pt idx="676">
                  <c:v>45547.666666666599</c:v>
                </c:pt>
                <c:pt idx="677">
                  <c:v>45548.666666666599</c:v>
                </c:pt>
                <c:pt idx="678">
                  <c:v>45551.666666666599</c:v>
                </c:pt>
                <c:pt idx="679">
                  <c:v>45552.666666666599</c:v>
                </c:pt>
                <c:pt idx="680">
                  <c:v>45553.666666666599</c:v>
                </c:pt>
                <c:pt idx="681">
                  <c:v>45554.666666666599</c:v>
                </c:pt>
                <c:pt idx="682">
                  <c:v>45555.666666666599</c:v>
                </c:pt>
                <c:pt idx="683">
                  <c:v>45558.666666666599</c:v>
                </c:pt>
                <c:pt idx="684">
                  <c:v>45559.666666666599</c:v>
                </c:pt>
                <c:pt idx="685">
                  <c:v>45560.666666666599</c:v>
                </c:pt>
                <c:pt idx="686">
                  <c:v>45561.666666666599</c:v>
                </c:pt>
                <c:pt idx="687">
                  <c:v>45562.666666666599</c:v>
                </c:pt>
                <c:pt idx="688">
                  <c:v>45565.666666666599</c:v>
                </c:pt>
                <c:pt idx="689">
                  <c:v>45566.666666666599</c:v>
                </c:pt>
                <c:pt idx="690">
                  <c:v>45567.666666666599</c:v>
                </c:pt>
                <c:pt idx="691">
                  <c:v>45568.666666666599</c:v>
                </c:pt>
                <c:pt idx="692">
                  <c:v>45569.666666666599</c:v>
                </c:pt>
                <c:pt idx="693">
                  <c:v>45572.666666666599</c:v>
                </c:pt>
                <c:pt idx="694">
                  <c:v>45573.666666666599</c:v>
                </c:pt>
                <c:pt idx="695">
                  <c:v>45574.666666666599</c:v>
                </c:pt>
                <c:pt idx="696">
                  <c:v>45575.666666666599</c:v>
                </c:pt>
                <c:pt idx="697">
                  <c:v>45576.666666666599</c:v>
                </c:pt>
                <c:pt idx="698">
                  <c:v>45579.666666666599</c:v>
                </c:pt>
                <c:pt idx="699">
                  <c:v>45580.666666666599</c:v>
                </c:pt>
                <c:pt idx="700">
                  <c:v>45581.666666666599</c:v>
                </c:pt>
                <c:pt idx="701">
                  <c:v>45582.666666666599</c:v>
                </c:pt>
                <c:pt idx="702">
                  <c:v>45583.666666666599</c:v>
                </c:pt>
                <c:pt idx="703">
                  <c:v>45586.666666666599</c:v>
                </c:pt>
                <c:pt idx="704">
                  <c:v>45587.666666666599</c:v>
                </c:pt>
                <c:pt idx="705">
                  <c:v>45588.666666666599</c:v>
                </c:pt>
                <c:pt idx="706">
                  <c:v>45589.666666666599</c:v>
                </c:pt>
                <c:pt idx="707">
                  <c:v>45590.666666666599</c:v>
                </c:pt>
                <c:pt idx="708">
                  <c:v>45593.666666666599</c:v>
                </c:pt>
                <c:pt idx="709">
                  <c:v>45594.666666666599</c:v>
                </c:pt>
                <c:pt idx="710">
                  <c:v>45595.666666666599</c:v>
                </c:pt>
                <c:pt idx="711">
                  <c:v>45596.666666666599</c:v>
                </c:pt>
                <c:pt idx="712">
                  <c:v>45597.666666666599</c:v>
                </c:pt>
                <c:pt idx="713">
                  <c:v>45600.666666666599</c:v>
                </c:pt>
                <c:pt idx="714">
                  <c:v>45601.666666666599</c:v>
                </c:pt>
                <c:pt idx="715">
                  <c:v>45602.666666666599</c:v>
                </c:pt>
                <c:pt idx="716">
                  <c:v>45603.666666666599</c:v>
                </c:pt>
                <c:pt idx="717">
                  <c:v>45604.666666666599</c:v>
                </c:pt>
                <c:pt idx="718">
                  <c:v>45607.666666666599</c:v>
                </c:pt>
                <c:pt idx="719">
                  <c:v>45608.666666666599</c:v>
                </c:pt>
                <c:pt idx="720">
                  <c:v>45609.666666666599</c:v>
                </c:pt>
                <c:pt idx="721">
                  <c:v>45610.666666666599</c:v>
                </c:pt>
                <c:pt idx="722">
                  <c:v>45611.666666666599</c:v>
                </c:pt>
                <c:pt idx="723">
                  <c:v>45614.666666666599</c:v>
                </c:pt>
                <c:pt idx="724">
                  <c:v>45615.666666666599</c:v>
                </c:pt>
                <c:pt idx="725">
                  <c:v>45616.666666666599</c:v>
                </c:pt>
                <c:pt idx="726">
                  <c:v>45617.666666666599</c:v>
                </c:pt>
                <c:pt idx="727">
                  <c:v>45618.666666666599</c:v>
                </c:pt>
                <c:pt idx="728">
                  <c:v>45621.666666666599</c:v>
                </c:pt>
                <c:pt idx="729">
                  <c:v>45622.666666666599</c:v>
                </c:pt>
                <c:pt idx="730">
                  <c:v>45623.666666666599</c:v>
                </c:pt>
                <c:pt idx="731">
                  <c:v>45625.541666666599</c:v>
                </c:pt>
                <c:pt idx="732">
                  <c:v>45628.666666666599</c:v>
                </c:pt>
                <c:pt idx="733">
                  <c:v>45629.666666666599</c:v>
                </c:pt>
                <c:pt idx="734">
                  <c:v>45630.666666666599</c:v>
                </c:pt>
                <c:pt idx="735">
                  <c:v>45631.666666666599</c:v>
                </c:pt>
                <c:pt idx="736">
                  <c:v>45632.666666666599</c:v>
                </c:pt>
                <c:pt idx="737">
                  <c:v>45635.666666666599</c:v>
                </c:pt>
                <c:pt idx="738">
                  <c:v>45636.666666666599</c:v>
                </c:pt>
                <c:pt idx="739">
                  <c:v>45637.666666666599</c:v>
                </c:pt>
                <c:pt idx="740">
                  <c:v>45638.666666666599</c:v>
                </c:pt>
                <c:pt idx="741">
                  <c:v>45639.666666666599</c:v>
                </c:pt>
                <c:pt idx="742">
                  <c:v>45642.666666666599</c:v>
                </c:pt>
                <c:pt idx="743">
                  <c:v>45643.666666666599</c:v>
                </c:pt>
                <c:pt idx="744">
                  <c:v>45644.666666666599</c:v>
                </c:pt>
                <c:pt idx="745">
                  <c:v>45645.666666666599</c:v>
                </c:pt>
                <c:pt idx="746">
                  <c:v>45646.666666666599</c:v>
                </c:pt>
                <c:pt idx="747">
                  <c:v>45649.666666666599</c:v>
                </c:pt>
                <c:pt idx="748">
                  <c:v>45650.541666666599</c:v>
                </c:pt>
                <c:pt idx="749">
                  <c:v>45652.666666666599</c:v>
                </c:pt>
                <c:pt idx="750">
                  <c:v>45653.666666666599</c:v>
                </c:pt>
                <c:pt idx="751">
                  <c:v>45656.666666666599</c:v>
                </c:pt>
                <c:pt idx="752">
                  <c:v>45657.666666666599</c:v>
                </c:pt>
              </c:numCache>
            </c:numRef>
          </c:cat>
          <c:val>
            <c:numRef>
              <c:f>Sheet1!$D$6:$D$758</c:f>
              <c:numCache>
                <c:formatCode>General</c:formatCode>
                <c:ptCount val="753"/>
                <c:pt idx="0">
                  <c:v>100.19</c:v>
                </c:pt>
                <c:pt idx="1">
                  <c:v>104.26</c:v>
                </c:pt>
                <c:pt idx="2">
                  <c:v>101.68</c:v>
                </c:pt>
                <c:pt idx="3">
                  <c:v>103.42</c:v>
                </c:pt>
                <c:pt idx="4">
                  <c:v>104.05</c:v>
                </c:pt>
                <c:pt idx="5">
                  <c:v>104.13</c:v>
                </c:pt>
                <c:pt idx="6">
                  <c:v>105.92</c:v>
                </c:pt>
                <c:pt idx="7">
                  <c:v>103.05</c:v>
                </c:pt>
                <c:pt idx="8">
                  <c:v>102.55</c:v>
                </c:pt>
                <c:pt idx="9">
                  <c:v>98.88</c:v>
                </c:pt>
                <c:pt idx="10">
                  <c:v>94.01</c:v>
                </c:pt>
                <c:pt idx="11">
                  <c:v>95.73</c:v>
                </c:pt>
                <c:pt idx="12">
                  <c:v>99.83</c:v>
                </c:pt>
                <c:pt idx="13">
                  <c:v>98.86</c:v>
                </c:pt>
                <c:pt idx="14">
                  <c:v>98.08</c:v>
                </c:pt>
                <c:pt idx="15">
                  <c:v>99.04</c:v>
                </c:pt>
                <c:pt idx="16">
                  <c:v>100.17</c:v>
                </c:pt>
                <c:pt idx="17">
                  <c:v>101.15</c:v>
                </c:pt>
                <c:pt idx="18">
                  <c:v>101.8</c:v>
                </c:pt>
                <c:pt idx="19">
                  <c:v>102.54</c:v>
                </c:pt>
                <c:pt idx="20">
                  <c:v>103.95</c:v>
                </c:pt>
                <c:pt idx="21">
                  <c:v>103.92</c:v>
                </c:pt>
                <c:pt idx="22">
                  <c:v>102.29</c:v>
                </c:pt>
                <c:pt idx="23">
                  <c:v>104.11</c:v>
                </c:pt>
                <c:pt idx="24">
                  <c:v>105.18</c:v>
                </c:pt>
                <c:pt idx="25">
                  <c:v>106.35</c:v>
                </c:pt>
                <c:pt idx="26">
                  <c:v>108.73</c:v>
                </c:pt>
                <c:pt idx="27">
                  <c:v>107.57</c:v>
                </c:pt>
                <c:pt idx="28">
                  <c:v>104.57</c:v>
                </c:pt>
                <c:pt idx="29">
                  <c:v>102.57</c:v>
                </c:pt>
                <c:pt idx="30">
                  <c:v>103.43</c:v>
                </c:pt>
                <c:pt idx="31">
                  <c:v>101.15</c:v>
                </c:pt>
                <c:pt idx="32">
                  <c:v>96.15</c:v>
                </c:pt>
                <c:pt idx="33">
                  <c:v>95.42</c:v>
                </c:pt>
                <c:pt idx="34">
                  <c:v>94.75</c:v>
                </c:pt>
                <c:pt idx="35">
                  <c:v>93.55</c:v>
                </c:pt>
                <c:pt idx="36">
                  <c:v>91.81</c:v>
                </c:pt>
                <c:pt idx="37">
                  <c:v>94.55</c:v>
                </c:pt>
                <c:pt idx="38">
                  <c:v>90.74</c:v>
                </c:pt>
                <c:pt idx="39">
                  <c:v>87.63</c:v>
                </c:pt>
                <c:pt idx="40">
                  <c:v>88.38</c:v>
                </c:pt>
                <c:pt idx="41">
                  <c:v>87.78</c:v>
                </c:pt>
                <c:pt idx="42">
                  <c:v>86.36</c:v>
                </c:pt>
                <c:pt idx="43">
                  <c:v>83.45</c:v>
                </c:pt>
                <c:pt idx="44">
                  <c:v>83.31</c:v>
                </c:pt>
                <c:pt idx="45">
                  <c:v>87.4</c:v>
                </c:pt>
                <c:pt idx="46">
                  <c:v>85.86</c:v>
                </c:pt>
                <c:pt idx="47">
                  <c:v>85.18</c:v>
                </c:pt>
                <c:pt idx="48">
                  <c:v>84.72</c:v>
                </c:pt>
                <c:pt idx="49">
                  <c:v>86.33</c:v>
                </c:pt>
                <c:pt idx="50">
                  <c:v>91.76</c:v>
                </c:pt>
                <c:pt idx="51">
                  <c:v>93.86</c:v>
                </c:pt>
                <c:pt idx="52">
                  <c:v>94.82</c:v>
                </c:pt>
                <c:pt idx="53">
                  <c:v>92.61</c:v>
                </c:pt>
                <c:pt idx="54">
                  <c:v>94.22</c:v>
                </c:pt>
                <c:pt idx="55">
                  <c:v>92.38</c:v>
                </c:pt>
                <c:pt idx="56">
                  <c:v>92.13</c:v>
                </c:pt>
                <c:pt idx="57">
                  <c:v>92.38</c:v>
                </c:pt>
                <c:pt idx="58">
                  <c:v>91.27</c:v>
                </c:pt>
                <c:pt idx="59">
                  <c:v>91.84</c:v>
                </c:pt>
                <c:pt idx="60">
                  <c:v>90.27</c:v>
                </c:pt>
                <c:pt idx="61">
                  <c:v>87.4</c:v>
                </c:pt>
                <c:pt idx="62">
                  <c:v>86.99</c:v>
                </c:pt>
                <c:pt idx="63">
                  <c:v>87.28</c:v>
                </c:pt>
                <c:pt idx="64">
                  <c:v>85.28</c:v>
                </c:pt>
                <c:pt idx="65">
                  <c:v>83.13</c:v>
                </c:pt>
                <c:pt idx="66">
                  <c:v>83.13</c:v>
                </c:pt>
                <c:pt idx="67">
                  <c:v>84.06</c:v>
                </c:pt>
                <c:pt idx="68">
                  <c:v>84.02</c:v>
                </c:pt>
                <c:pt idx="69">
                  <c:v>83.93</c:v>
                </c:pt>
                <c:pt idx="70">
                  <c:v>84.13</c:v>
                </c:pt>
                <c:pt idx="71">
                  <c:v>84.76</c:v>
                </c:pt>
                <c:pt idx="72">
                  <c:v>86.48</c:v>
                </c:pt>
                <c:pt idx="73">
                  <c:v>88.91</c:v>
                </c:pt>
                <c:pt idx="74">
                  <c:v>90.61</c:v>
                </c:pt>
                <c:pt idx="75">
                  <c:v>88.91</c:v>
                </c:pt>
                <c:pt idx="76">
                  <c:v>84.74</c:v>
                </c:pt>
                <c:pt idx="77">
                  <c:v>85.05</c:v>
                </c:pt>
                <c:pt idx="78">
                  <c:v>82.37</c:v>
                </c:pt>
                <c:pt idx="79">
                  <c:v>82.21</c:v>
                </c:pt>
                <c:pt idx="80">
                  <c:v>83.4</c:v>
                </c:pt>
                <c:pt idx="81">
                  <c:v>80.59</c:v>
                </c:pt>
                <c:pt idx="82">
                  <c:v>81.96</c:v>
                </c:pt>
                <c:pt idx="83">
                  <c:v>83.75</c:v>
                </c:pt>
                <c:pt idx="84">
                  <c:v>87.22</c:v>
                </c:pt>
                <c:pt idx="85">
                  <c:v>84.94</c:v>
                </c:pt>
                <c:pt idx="86">
                  <c:v>84.23</c:v>
                </c:pt>
                <c:pt idx="87">
                  <c:v>81.150000000000006</c:v>
                </c:pt>
                <c:pt idx="88">
                  <c:v>80.260000000000005</c:v>
                </c:pt>
                <c:pt idx="89">
                  <c:v>78.89</c:v>
                </c:pt>
                <c:pt idx="90">
                  <c:v>78.59</c:v>
                </c:pt>
                <c:pt idx="91">
                  <c:v>80.540000000000006</c:v>
                </c:pt>
                <c:pt idx="92">
                  <c:v>79.900000000000006</c:v>
                </c:pt>
                <c:pt idx="93">
                  <c:v>82.93</c:v>
                </c:pt>
                <c:pt idx="94">
                  <c:v>80.69</c:v>
                </c:pt>
                <c:pt idx="95">
                  <c:v>79.959999999999994</c:v>
                </c:pt>
                <c:pt idx="96">
                  <c:v>79.37</c:v>
                </c:pt>
                <c:pt idx="97">
                  <c:v>82.31</c:v>
                </c:pt>
                <c:pt idx="98">
                  <c:v>81.96</c:v>
                </c:pt>
                <c:pt idx="99">
                  <c:v>82.23</c:v>
                </c:pt>
                <c:pt idx="100">
                  <c:v>85</c:v>
                </c:pt>
                <c:pt idx="101">
                  <c:v>86.45</c:v>
                </c:pt>
                <c:pt idx="102">
                  <c:v>86.14</c:v>
                </c:pt>
                <c:pt idx="103">
                  <c:v>85</c:v>
                </c:pt>
                <c:pt idx="104">
                  <c:v>85.2</c:v>
                </c:pt>
                <c:pt idx="105">
                  <c:v>84.12</c:v>
                </c:pt>
                <c:pt idx="106">
                  <c:v>84.87</c:v>
                </c:pt>
                <c:pt idx="107">
                  <c:v>85.33</c:v>
                </c:pt>
                <c:pt idx="108">
                  <c:v>83.2</c:v>
                </c:pt>
                <c:pt idx="109">
                  <c:v>81.16</c:v>
                </c:pt>
                <c:pt idx="110">
                  <c:v>77.400000000000006</c:v>
                </c:pt>
                <c:pt idx="111">
                  <c:v>75.180000000000007</c:v>
                </c:pt>
                <c:pt idx="112">
                  <c:v>74.959999999999994</c:v>
                </c:pt>
                <c:pt idx="113">
                  <c:v>76.02</c:v>
                </c:pt>
                <c:pt idx="114">
                  <c:v>73.95</c:v>
                </c:pt>
                <c:pt idx="115">
                  <c:v>72.900000000000006</c:v>
                </c:pt>
                <c:pt idx="116">
                  <c:v>74.63</c:v>
                </c:pt>
                <c:pt idx="117">
                  <c:v>74.400000000000006</c:v>
                </c:pt>
                <c:pt idx="118">
                  <c:v>73.97</c:v>
                </c:pt>
                <c:pt idx="119">
                  <c:v>77.819999999999993</c:v>
                </c:pt>
                <c:pt idx="120">
                  <c:v>77.44</c:v>
                </c:pt>
                <c:pt idx="121">
                  <c:v>78.16</c:v>
                </c:pt>
                <c:pt idx="122">
                  <c:v>78.19</c:v>
                </c:pt>
                <c:pt idx="123">
                  <c:v>76.06</c:v>
                </c:pt>
                <c:pt idx="124">
                  <c:v>76.75</c:v>
                </c:pt>
                <c:pt idx="125">
                  <c:v>76.11</c:v>
                </c:pt>
                <c:pt idx="126">
                  <c:v>75.45</c:v>
                </c:pt>
                <c:pt idx="127">
                  <c:v>76.989999999999995</c:v>
                </c:pt>
                <c:pt idx="128">
                  <c:v>76.73</c:v>
                </c:pt>
                <c:pt idx="129">
                  <c:v>75.819999999999993</c:v>
                </c:pt>
                <c:pt idx="130">
                  <c:v>75.94</c:v>
                </c:pt>
                <c:pt idx="131">
                  <c:v>74.98</c:v>
                </c:pt>
                <c:pt idx="132">
                  <c:v>74.69</c:v>
                </c:pt>
                <c:pt idx="133">
                  <c:v>78.05</c:v>
                </c:pt>
                <c:pt idx="134">
                  <c:v>78.86</c:v>
                </c:pt>
                <c:pt idx="135">
                  <c:v>81.650000000000006</c:v>
                </c:pt>
                <c:pt idx="136">
                  <c:v>81.81</c:v>
                </c:pt>
                <c:pt idx="137">
                  <c:v>83.02</c:v>
                </c:pt>
                <c:pt idx="138">
                  <c:v>82.43</c:v>
                </c:pt>
                <c:pt idx="139">
                  <c:v>82.55</c:v>
                </c:pt>
                <c:pt idx="140">
                  <c:v>80.790000000000006</c:v>
                </c:pt>
                <c:pt idx="141">
                  <c:v>82.51</c:v>
                </c:pt>
                <c:pt idx="142">
                  <c:v>82.95</c:v>
                </c:pt>
                <c:pt idx="143">
                  <c:v>84.3</c:v>
                </c:pt>
                <c:pt idx="144">
                  <c:v>84.09</c:v>
                </c:pt>
                <c:pt idx="145">
                  <c:v>83.53</c:v>
                </c:pt>
                <c:pt idx="146">
                  <c:v>85.05</c:v>
                </c:pt>
                <c:pt idx="147">
                  <c:v>85.36</c:v>
                </c:pt>
                <c:pt idx="148">
                  <c:v>86.13</c:v>
                </c:pt>
                <c:pt idx="149">
                  <c:v>86.03</c:v>
                </c:pt>
                <c:pt idx="150">
                  <c:v>86.36</c:v>
                </c:pt>
                <c:pt idx="151">
                  <c:v>88.89</c:v>
                </c:pt>
                <c:pt idx="152">
                  <c:v>90.2</c:v>
                </c:pt>
                <c:pt idx="153">
                  <c:v>91.66</c:v>
                </c:pt>
                <c:pt idx="154">
                  <c:v>92.02</c:v>
                </c:pt>
                <c:pt idx="155">
                  <c:v>91.82</c:v>
                </c:pt>
                <c:pt idx="156">
                  <c:v>91.35</c:v>
                </c:pt>
                <c:pt idx="157">
                  <c:v>91.73</c:v>
                </c:pt>
                <c:pt idx="158">
                  <c:v>90.01</c:v>
                </c:pt>
                <c:pt idx="159">
                  <c:v>88.46</c:v>
                </c:pt>
                <c:pt idx="160">
                  <c:v>88.3</c:v>
                </c:pt>
                <c:pt idx="161">
                  <c:v>88.6</c:v>
                </c:pt>
                <c:pt idx="162">
                  <c:v>89.91</c:v>
                </c:pt>
                <c:pt idx="163">
                  <c:v>86.81</c:v>
                </c:pt>
                <c:pt idx="164">
                  <c:v>85.35</c:v>
                </c:pt>
                <c:pt idx="165">
                  <c:v>84.43</c:v>
                </c:pt>
                <c:pt idx="166">
                  <c:v>85.22</c:v>
                </c:pt>
                <c:pt idx="167">
                  <c:v>86.17</c:v>
                </c:pt>
                <c:pt idx="168">
                  <c:v>86.4</c:v>
                </c:pt>
                <c:pt idx="169">
                  <c:v>85.13</c:v>
                </c:pt>
                <c:pt idx="170">
                  <c:v>86.86</c:v>
                </c:pt>
                <c:pt idx="171">
                  <c:v>88.44</c:v>
                </c:pt>
                <c:pt idx="172">
                  <c:v>89.46</c:v>
                </c:pt>
                <c:pt idx="173">
                  <c:v>90.15</c:v>
                </c:pt>
                <c:pt idx="174">
                  <c:v>87.05</c:v>
                </c:pt>
                <c:pt idx="175">
                  <c:v>87.18</c:v>
                </c:pt>
                <c:pt idx="176">
                  <c:v>88.26</c:v>
                </c:pt>
                <c:pt idx="177">
                  <c:v>87.43</c:v>
                </c:pt>
                <c:pt idx="178">
                  <c:v>88.72</c:v>
                </c:pt>
                <c:pt idx="179">
                  <c:v>87.19</c:v>
                </c:pt>
                <c:pt idx="180">
                  <c:v>86.36</c:v>
                </c:pt>
                <c:pt idx="181">
                  <c:v>84.77</c:v>
                </c:pt>
                <c:pt idx="182">
                  <c:v>81.510000000000005</c:v>
                </c:pt>
                <c:pt idx="183">
                  <c:v>79.760000000000005</c:v>
                </c:pt>
                <c:pt idx="184">
                  <c:v>79.48</c:v>
                </c:pt>
                <c:pt idx="185">
                  <c:v>81.47</c:v>
                </c:pt>
                <c:pt idx="186">
                  <c:v>79.86</c:v>
                </c:pt>
                <c:pt idx="187">
                  <c:v>79.010000000000005</c:v>
                </c:pt>
                <c:pt idx="188">
                  <c:v>80.38</c:v>
                </c:pt>
                <c:pt idx="189">
                  <c:v>83.97</c:v>
                </c:pt>
                <c:pt idx="190">
                  <c:v>83.11</c:v>
                </c:pt>
                <c:pt idx="191">
                  <c:v>81.31</c:v>
                </c:pt>
                <c:pt idx="192">
                  <c:v>78.930000000000007</c:v>
                </c:pt>
                <c:pt idx="193">
                  <c:v>78.41</c:v>
                </c:pt>
                <c:pt idx="194">
                  <c:v>77</c:v>
                </c:pt>
                <c:pt idx="195">
                  <c:v>76.599999999999994</c:v>
                </c:pt>
                <c:pt idx="196">
                  <c:v>79.319999999999993</c:v>
                </c:pt>
                <c:pt idx="197">
                  <c:v>75.3</c:v>
                </c:pt>
                <c:pt idx="198">
                  <c:v>77.14</c:v>
                </c:pt>
                <c:pt idx="199">
                  <c:v>79.44</c:v>
                </c:pt>
                <c:pt idx="200">
                  <c:v>77.64</c:v>
                </c:pt>
                <c:pt idx="201">
                  <c:v>76.599999999999994</c:v>
                </c:pt>
                <c:pt idx="202">
                  <c:v>79.22</c:v>
                </c:pt>
                <c:pt idx="203">
                  <c:v>79.430000000000007</c:v>
                </c:pt>
                <c:pt idx="204">
                  <c:v>80.510000000000005</c:v>
                </c:pt>
                <c:pt idx="205">
                  <c:v>80.91</c:v>
                </c:pt>
                <c:pt idx="206">
                  <c:v>80.69</c:v>
                </c:pt>
                <c:pt idx="207">
                  <c:v>82.22</c:v>
                </c:pt>
                <c:pt idx="208">
                  <c:v>82.17</c:v>
                </c:pt>
                <c:pt idx="209">
                  <c:v>83.72</c:v>
                </c:pt>
                <c:pt idx="210">
                  <c:v>84.37</c:v>
                </c:pt>
                <c:pt idx="211">
                  <c:v>83.62</c:v>
                </c:pt>
                <c:pt idx="212">
                  <c:v>84.85</c:v>
                </c:pt>
                <c:pt idx="213">
                  <c:v>85.57</c:v>
                </c:pt>
                <c:pt idx="214">
                  <c:v>85.28</c:v>
                </c:pt>
                <c:pt idx="215">
                  <c:v>83.45</c:v>
                </c:pt>
                <c:pt idx="216">
                  <c:v>88.8</c:v>
                </c:pt>
                <c:pt idx="217">
                  <c:v>90.78</c:v>
                </c:pt>
                <c:pt idx="218">
                  <c:v>89.81</c:v>
                </c:pt>
                <c:pt idx="219">
                  <c:v>90.5</c:v>
                </c:pt>
                <c:pt idx="220">
                  <c:v>89.82</c:v>
                </c:pt>
                <c:pt idx="221">
                  <c:v>88.95</c:v>
                </c:pt>
                <c:pt idx="222">
                  <c:v>89.2</c:v>
                </c:pt>
                <c:pt idx="223">
                  <c:v>89.08</c:v>
                </c:pt>
                <c:pt idx="224">
                  <c:v>89.67</c:v>
                </c:pt>
                <c:pt idx="225">
                  <c:v>89.93</c:v>
                </c:pt>
                <c:pt idx="226">
                  <c:v>90.91</c:v>
                </c:pt>
                <c:pt idx="227">
                  <c:v>89.89</c:v>
                </c:pt>
                <c:pt idx="228">
                  <c:v>91.08</c:v>
                </c:pt>
                <c:pt idx="229">
                  <c:v>93.07</c:v>
                </c:pt>
                <c:pt idx="230">
                  <c:v>93</c:v>
                </c:pt>
                <c:pt idx="231">
                  <c:v>92.1</c:v>
                </c:pt>
                <c:pt idx="232">
                  <c:v>89.81</c:v>
                </c:pt>
                <c:pt idx="233">
                  <c:v>87.51</c:v>
                </c:pt>
                <c:pt idx="234">
                  <c:v>87.28</c:v>
                </c:pt>
                <c:pt idx="235">
                  <c:v>88.69</c:v>
                </c:pt>
                <c:pt idx="236">
                  <c:v>89.47</c:v>
                </c:pt>
                <c:pt idx="237">
                  <c:v>91.12</c:v>
                </c:pt>
                <c:pt idx="238">
                  <c:v>92.71</c:v>
                </c:pt>
                <c:pt idx="239">
                  <c:v>90.5</c:v>
                </c:pt>
                <c:pt idx="240">
                  <c:v>87.79</c:v>
                </c:pt>
                <c:pt idx="241">
                  <c:v>86.86</c:v>
                </c:pt>
                <c:pt idx="242">
                  <c:v>85.55</c:v>
                </c:pt>
                <c:pt idx="243">
                  <c:v>85.16</c:v>
                </c:pt>
                <c:pt idx="244">
                  <c:v>86.87</c:v>
                </c:pt>
                <c:pt idx="245">
                  <c:v>86.37</c:v>
                </c:pt>
                <c:pt idx="246">
                  <c:v>86.11</c:v>
                </c:pt>
                <c:pt idx="247">
                  <c:v>85.06</c:v>
                </c:pt>
                <c:pt idx="248">
                  <c:v>84.46</c:v>
                </c:pt>
                <c:pt idx="249">
                  <c:v>85.24</c:v>
                </c:pt>
                <c:pt idx="250">
                  <c:v>85.02</c:v>
                </c:pt>
                <c:pt idx="251">
                  <c:v>85.72</c:v>
                </c:pt>
                <c:pt idx="252">
                  <c:v>86.65</c:v>
                </c:pt>
                <c:pt idx="253">
                  <c:v>85.92</c:v>
                </c:pt>
                <c:pt idx="254">
                  <c:v>87.56</c:v>
                </c:pt>
                <c:pt idx="255">
                  <c:v>87.64</c:v>
                </c:pt>
                <c:pt idx="256">
                  <c:v>88.92</c:v>
                </c:pt>
                <c:pt idx="257">
                  <c:v>89.43</c:v>
                </c:pt>
                <c:pt idx="258">
                  <c:v>90.53</c:v>
                </c:pt>
                <c:pt idx="259">
                  <c:v>91.66</c:v>
                </c:pt>
                <c:pt idx="260">
                  <c:v>97.08</c:v>
                </c:pt>
                <c:pt idx="261">
                  <c:v>96.58</c:v>
                </c:pt>
                <c:pt idx="262">
                  <c:v>94.15</c:v>
                </c:pt>
                <c:pt idx="263">
                  <c:v>96.24</c:v>
                </c:pt>
                <c:pt idx="264">
                  <c:v>97.13</c:v>
                </c:pt>
                <c:pt idx="265">
                  <c:v>95.51</c:v>
                </c:pt>
                <c:pt idx="266">
                  <c:v>95.64</c:v>
                </c:pt>
                <c:pt idx="267">
                  <c:v>96.5</c:v>
                </c:pt>
                <c:pt idx="268">
                  <c:v>96.86</c:v>
                </c:pt>
                <c:pt idx="269">
                  <c:v>95.96</c:v>
                </c:pt>
                <c:pt idx="270">
                  <c:v>97.33</c:v>
                </c:pt>
                <c:pt idx="271">
                  <c:v>98.19</c:v>
                </c:pt>
                <c:pt idx="272">
                  <c:v>99.21</c:v>
                </c:pt>
                <c:pt idx="273">
                  <c:v>99.43</c:v>
                </c:pt>
                <c:pt idx="274">
                  <c:v>98.9</c:v>
                </c:pt>
                <c:pt idx="275">
                  <c:v>99.22</c:v>
                </c:pt>
                <c:pt idx="276">
                  <c:v>98.96</c:v>
                </c:pt>
                <c:pt idx="277">
                  <c:v>98.05</c:v>
                </c:pt>
                <c:pt idx="278">
                  <c:v>98.44</c:v>
                </c:pt>
                <c:pt idx="279">
                  <c:v>99.43</c:v>
                </c:pt>
                <c:pt idx="280">
                  <c:v>100.56</c:v>
                </c:pt>
                <c:pt idx="281">
                  <c:v>100.83</c:v>
                </c:pt>
                <c:pt idx="282">
                  <c:v>99.57</c:v>
                </c:pt>
                <c:pt idx="283">
                  <c:v>99.51</c:v>
                </c:pt>
                <c:pt idx="284">
                  <c:v>97.62</c:v>
                </c:pt>
                <c:pt idx="285">
                  <c:v>97.27</c:v>
                </c:pt>
                <c:pt idx="286">
                  <c:v>97.94</c:v>
                </c:pt>
                <c:pt idx="287">
                  <c:v>97.7</c:v>
                </c:pt>
                <c:pt idx="288">
                  <c:v>96.7</c:v>
                </c:pt>
                <c:pt idx="289">
                  <c:v>96.5</c:v>
                </c:pt>
                <c:pt idx="290">
                  <c:v>96.19</c:v>
                </c:pt>
                <c:pt idx="291">
                  <c:v>96.08</c:v>
                </c:pt>
                <c:pt idx="292">
                  <c:v>98.33</c:v>
                </c:pt>
                <c:pt idx="293">
                  <c:v>98.38</c:v>
                </c:pt>
                <c:pt idx="294">
                  <c:v>96.06</c:v>
                </c:pt>
                <c:pt idx="295">
                  <c:v>95.9</c:v>
                </c:pt>
                <c:pt idx="296">
                  <c:v>92.2</c:v>
                </c:pt>
                <c:pt idx="297">
                  <c:v>90.05</c:v>
                </c:pt>
                <c:pt idx="298">
                  <c:v>87.99</c:v>
                </c:pt>
                <c:pt idx="299">
                  <c:v>89.97</c:v>
                </c:pt>
                <c:pt idx="300">
                  <c:v>85.39</c:v>
                </c:pt>
                <c:pt idx="301">
                  <c:v>87.01</c:v>
                </c:pt>
                <c:pt idx="302">
                  <c:v>84.18</c:v>
                </c:pt>
                <c:pt idx="303">
                  <c:v>85.64</c:v>
                </c:pt>
                <c:pt idx="304">
                  <c:v>88.76</c:v>
                </c:pt>
                <c:pt idx="305">
                  <c:v>87.55</c:v>
                </c:pt>
                <c:pt idx="306">
                  <c:v>85.84</c:v>
                </c:pt>
                <c:pt idx="307">
                  <c:v>83.95</c:v>
                </c:pt>
                <c:pt idx="308">
                  <c:v>84.64</c:v>
                </c:pt>
                <c:pt idx="309">
                  <c:v>84.88</c:v>
                </c:pt>
                <c:pt idx="310">
                  <c:v>86.24</c:v>
                </c:pt>
                <c:pt idx="311">
                  <c:v>86.11</c:v>
                </c:pt>
                <c:pt idx="312">
                  <c:v>87.8</c:v>
                </c:pt>
                <c:pt idx="313">
                  <c:v>87.16</c:v>
                </c:pt>
                <c:pt idx="314">
                  <c:v>84.82</c:v>
                </c:pt>
                <c:pt idx="315">
                  <c:v>83.82</c:v>
                </c:pt>
                <c:pt idx="316">
                  <c:v>84.19</c:v>
                </c:pt>
                <c:pt idx="317">
                  <c:v>84</c:v>
                </c:pt>
                <c:pt idx="318">
                  <c:v>85.09</c:v>
                </c:pt>
                <c:pt idx="319">
                  <c:v>85.47</c:v>
                </c:pt>
                <c:pt idx="320">
                  <c:v>85.69</c:v>
                </c:pt>
                <c:pt idx="321">
                  <c:v>86.71</c:v>
                </c:pt>
                <c:pt idx="322">
                  <c:v>89.29</c:v>
                </c:pt>
                <c:pt idx="323">
                  <c:v>89.85</c:v>
                </c:pt>
                <c:pt idx="324">
                  <c:v>90.45</c:v>
                </c:pt>
                <c:pt idx="325">
                  <c:v>90.43</c:v>
                </c:pt>
                <c:pt idx="326">
                  <c:v>91.12</c:v>
                </c:pt>
                <c:pt idx="327">
                  <c:v>90.2</c:v>
                </c:pt>
                <c:pt idx="328">
                  <c:v>88.06</c:v>
                </c:pt>
                <c:pt idx="329">
                  <c:v>88.44</c:v>
                </c:pt>
                <c:pt idx="330">
                  <c:v>90.26</c:v>
                </c:pt>
                <c:pt idx="331">
                  <c:v>89.97</c:v>
                </c:pt>
                <c:pt idx="332">
                  <c:v>87.93</c:v>
                </c:pt>
                <c:pt idx="333">
                  <c:v>86.29</c:v>
                </c:pt>
                <c:pt idx="334">
                  <c:v>84.75</c:v>
                </c:pt>
                <c:pt idx="335">
                  <c:v>82.61</c:v>
                </c:pt>
                <c:pt idx="336">
                  <c:v>84.88</c:v>
                </c:pt>
                <c:pt idx="337">
                  <c:v>84.43</c:v>
                </c:pt>
                <c:pt idx="338">
                  <c:v>84.37</c:v>
                </c:pt>
                <c:pt idx="339">
                  <c:v>83.72</c:v>
                </c:pt>
                <c:pt idx="340">
                  <c:v>82.63</c:v>
                </c:pt>
                <c:pt idx="341">
                  <c:v>82.39</c:v>
                </c:pt>
                <c:pt idx="342">
                  <c:v>82.95</c:v>
                </c:pt>
                <c:pt idx="343">
                  <c:v>81.86</c:v>
                </c:pt>
                <c:pt idx="344">
                  <c:v>83.91</c:v>
                </c:pt>
                <c:pt idx="345">
                  <c:v>84.49</c:v>
                </c:pt>
                <c:pt idx="346">
                  <c:v>82.24</c:v>
                </c:pt>
                <c:pt idx="347">
                  <c:v>82.27</c:v>
                </c:pt>
                <c:pt idx="348">
                  <c:v>82.64</c:v>
                </c:pt>
                <c:pt idx="349">
                  <c:v>81.22</c:v>
                </c:pt>
                <c:pt idx="350">
                  <c:v>83</c:v>
                </c:pt>
                <c:pt idx="351">
                  <c:v>83.9</c:v>
                </c:pt>
                <c:pt idx="352">
                  <c:v>83.42</c:v>
                </c:pt>
                <c:pt idx="353">
                  <c:v>81.760000000000005</c:v>
                </c:pt>
                <c:pt idx="354">
                  <c:v>82.07</c:v>
                </c:pt>
                <c:pt idx="355">
                  <c:v>84.35</c:v>
                </c:pt>
                <c:pt idx="356">
                  <c:v>83.74</c:v>
                </c:pt>
                <c:pt idx="357">
                  <c:v>85.86</c:v>
                </c:pt>
                <c:pt idx="358">
                  <c:v>86.5</c:v>
                </c:pt>
                <c:pt idx="359">
                  <c:v>86.31</c:v>
                </c:pt>
                <c:pt idx="360">
                  <c:v>86.21</c:v>
                </c:pt>
                <c:pt idx="361">
                  <c:v>87.44</c:v>
                </c:pt>
                <c:pt idx="362">
                  <c:v>88.28</c:v>
                </c:pt>
                <c:pt idx="363">
                  <c:v>87.98</c:v>
                </c:pt>
                <c:pt idx="364">
                  <c:v>89.05</c:v>
                </c:pt>
                <c:pt idx="365">
                  <c:v>88.09</c:v>
                </c:pt>
                <c:pt idx="366">
                  <c:v>86.73</c:v>
                </c:pt>
                <c:pt idx="367">
                  <c:v>86.34</c:v>
                </c:pt>
                <c:pt idx="368">
                  <c:v>84.5</c:v>
                </c:pt>
                <c:pt idx="369">
                  <c:v>83.58</c:v>
                </c:pt>
                <c:pt idx="370">
                  <c:v>83.59</c:v>
                </c:pt>
                <c:pt idx="371">
                  <c:v>84.43</c:v>
                </c:pt>
                <c:pt idx="372">
                  <c:v>83.99</c:v>
                </c:pt>
                <c:pt idx="373">
                  <c:v>85.24</c:v>
                </c:pt>
                <c:pt idx="374">
                  <c:v>85.4</c:v>
                </c:pt>
                <c:pt idx="375">
                  <c:v>86.41</c:v>
                </c:pt>
                <c:pt idx="376">
                  <c:v>85.92</c:v>
                </c:pt>
                <c:pt idx="377">
                  <c:v>83.33</c:v>
                </c:pt>
                <c:pt idx="378">
                  <c:v>83.36</c:v>
                </c:pt>
                <c:pt idx="379">
                  <c:v>83.4</c:v>
                </c:pt>
                <c:pt idx="380">
                  <c:v>84.96</c:v>
                </c:pt>
                <c:pt idx="381">
                  <c:v>85.77</c:v>
                </c:pt>
                <c:pt idx="382">
                  <c:v>86.21</c:v>
                </c:pt>
                <c:pt idx="383">
                  <c:v>85.78</c:v>
                </c:pt>
                <c:pt idx="384">
                  <c:v>86.37</c:v>
                </c:pt>
                <c:pt idx="385">
                  <c:v>91.94</c:v>
                </c:pt>
                <c:pt idx="386">
                  <c:v>93.16</c:v>
                </c:pt>
                <c:pt idx="387">
                  <c:v>93.8</c:v>
                </c:pt>
                <c:pt idx="388">
                  <c:v>94.01</c:v>
                </c:pt>
                <c:pt idx="389">
                  <c:v>94.67</c:v>
                </c:pt>
                <c:pt idx="390">
                  <c:v>94.42</c:v>
                </c:pt>
                <c:pt idx="391">
                  <c:v>93.54</c:v>
                </c:pt>
                <c:pt idx="392">
                  <c:v>92.75</c:v>
                </c:pt>
                <c:pt idx="393">
                  <c:v>91.57</c:v>
                </c:pt>
                <c:pt idx="394">
                  <c:v>91.56</c:v>
                </c:pt>
                <c:pt idx="395">
                  <c:v>90.94</c:v>
                </c:pt>
                <c:pt idx="396">
                  <c:v>89.32</c:v>
                </c:pt>
                <c:pt idx="397">
                  <c:v>89.14</c:v>
                </c:pt>
                <c:pt idx="398">
                  <c:v>88.79</c:v>
                </c:pt>
                <c:pt idx="399">
                  <c:v>89.08</c:v>
                </c:pt>
                <c:pt idx="400">
                  <c:v>88.47</c:v>
                </c:pt>
                <c:pt idx="401">
                  <c:v>87.56</c:v>
                </c:pt>
                <c:pt idx="402">
                  <c:v>87.64</c:v>
                </c:pt>
                <c:pt idx="403">
                  <c:v>87.7</c:v>
                </c:pt>
                <c:pt idx="404">
                  <c:v>87.33</c:v>
                </c:pt>
                <c:pt idx="405">
                  <c:v>86.16</c:v>
                </c:pt>
                <c:pt idx="406">
                  <c:v>85.99</c:v>
                </c:pt>
                <c:pt idx="407">
                  <c:v>85.79</c:v>
                </c:pt>
                <c:pt idx="408">
                  <c:v>84.89</c:v>
                </c:pt>
                <c:pt idx="409">
                  <c:v>84.25</c:v>
                </c:pt>
                <c:pt idx="410">
                  <c:v>82.98</c:v>
                </c:pt>
                <c:pt idx="411">
                  <c:v>83.39</c:v>
                </c:pt>
                <c:pt idx="412">
                  <c:v>83.44</c:v>
                </c:pt>
                <c:pt idx="413">
                  <c:v>83.22</c:v>
                </c:pt>
                <c:pt idx="414">
                  <c:v>84.38</c:v>
                </c:pt>
                <c:pt idx="415">
                  <c:v>85.55</c:v>
                </c:pt>
                <c:pt idx="416">
                  <c:v>85.26</c:v>
                </c:pt>
                <c:pt idx="417">
                  <c:v>85.15</c:v>
                </c:pt>
                <c:pt idx="418">
                  <c:v>85.75</c:v>
                </c:pt>
                <c:pt idx="419">
                  <c:v>84.84</c:v>
                </c:pt>
                <c:pt idx="420">
                  <c:v>84.16</c:v>
                </c:pt>
                <c:pt idx="421">
                  <c:v>83.84</c:v>
                </c:pt>
                <c:pt idx="422">
                  <c:v>84.92</c:v>
                </c:pt>
                <c:pt idx="423">
                  <c:v>83.51</c:v>
                </c:pt>
                <c:pt idx="424">
                  <c:v>85.55</c:v>
                </c:pt>
                <c:pt idx="425">
                  <c:v>87.25</c:v>
                </c:pt>
                <c:pt idx="426">
                  <c:v>89.07</c:v>
                </c:pt>
                <c:pt idx="427">
                  <c:v>88.41</c:v>
                </c:pt>
                <c:pt idx="428">
                  <c:v>88.71</c:v>
                </c:pt>
                <c:pt idx="429">
                  <c:v>88.51</c:v>
                </c:pt>
                <c:pt idx="430">
                  <c:v>87.14</c:v>
                </c:pt>
                <c:pt idx="431">
                  <c:v>84.88</c:v>
                </c:pt>
                <c:pt idx="432">
                  <c:v>83.29</c:v>
                </c:pt>
                <c:pt idx="433">
                  <c:v>83.03</c:v>
                </c:pt>
                <c:pt idx="434">
                  <c:v>82.17</c:v>
                </c:pt>
                <c:pt idx="435">
                  <c:v>81.650000000000006</c:v>
                </c:pt>
                <c:pt idx="436">
                  <c:v>82.19</c:v>
                </c:pt>
                <c:pt idx="437">
                  <c:v>81.67</c:v>
                </c:pt>
                <c:pt idx="438">
                  <c:v>80.41</c:v>
                </c:pt>
                <c:pt idx="439">
                  <c:v>78.02</c:v>
                </c:pt>
                <c:pt idx="440">
                  <c:v>79.09</c:v>
                </c:pt>
                <c:pt idx="441">
                  <c:v>79.150000000000006</c:v>
                </c:pt>
                <c:pt idx="442">
                  <c:v>80.33</c:v>
                </c:pt>
                <c:pt idx="443">
                  <c:v>79.91</c:v>
                </c:pt>
                <c:pt idx="444">
                  <c:v>80.13</c:v>
                </c:pt>
                <c:pt idx="445">
                  <c:v>78.900000000000006</c:v>
                </c:pt>
                <c:pt idx="446">
                  <c:v>77.81</c:v>
                </c:pt>
                <c:pt idx="447">
                  <c:v>77.790000000000006</c:v>
                </c:pt>
                <c:pt idx="448">
                  <c:v>78.73</c:v>
                </c:pt>
                <c:pt idx="449">
                  <c:v>80.33</c:v>
                </c:pt>
                <c:pt idx="450">
                  <c:v>74.88</c:v>
                </c:pt>
                <c:pt idx="451">
                  <c:v>72.92</c:v>
                </c:pt>
                <c:pt idx="452">
                  <c:v>73.13</c:v>
                </c:pt>
                <c:pt idx="453">
                  <c:v>71.7</c:v>
                </c:pt>
                <c:pt idx="454">
                  <c:v>71.56</c:v>
                </c:pt>
                <c:pt idx="455">
                  <c:v>71.400000000000006</c:v>
                </c:pt>
                <c:pt idx="456">
                  <c:v>72.069999999999993</c:v>
                </c:pt>
                <c:pt idx="457">
                  <c:v>70.400000000000006</c:v>
                </c:pt>
                <c:pt idx="458">
                  <c:v>70.59</c:v>
                </c:pt>
                <c:pt idx="459">
                  <c:v>70.819999999999993</c:v>
                </c:pt>
                <c:pt idx="460">
                  <c:v>70.95</c:v>
                </c:pt>
                <c:pt idx="461">
                  <c:v>73.459999999999994</c:v>
                </c:pt>
                <c:pt idx="462">
                  <c:v>76.260000000000005</c:v>
                </c:pt>
                <c:pt idx="463">
                  <c:v>75.92</c:v>
                </c:pt>
                <c:pt idx="464">
                  <c:v>75.510000000000005</c:v>
                </c:pt>
                <c:pt idx="465">
                  <c:v>75.97</c:v>
                </c:pt>
                <c:pt idx="466">
                  <c:v>74.19</c:v>
                </c:pt>
                <c:pt idx="467">
                  <c:v>75.33</c:v>
                </c:pt>
                <c:pt idx="468">
                  <c:v>75.040000000000006</c:v>
                </c:pt>
                <c:pt idx="469">
                  <c:v>78.31</c:v>
                </c:pt>
                <c:pt idx="470">
                  <c:v>79.680000000000007</c:v>
                </c:pt>
                <c:pt idx="471">
                  <c:v>79.66</c:v>
                </c:pt>
                <c:pt idx="472">
                  <c:v>80.28</c:v>
                </c:pt>
                <c:pt idx="473">
                  <c:v>79.7</c:v>
                </c:pt>
                <c:pt idx="474">
                  <c:v>78.47</c:v>
                </c:pt>
                <c:pt idx="475">
                  <c:v>78.489999999999995</c:v>
                </c:pt>
                <c:pt idx="476">
                  <c:v>78.650000000000006</c:v>
                </c:pt>
                <c:pt idx="477">
                  <c:v>77.95</c:v>
                </c:pt>
                <c:pt idx="478">
                  <c:v>76.88</c:v>
                </c:pt>
                <c:pt idx="479">
                  <c:v>78.55</c:v>
                </c:pt>
                <c:pt idx="480">
                  <c:v>79.34</c:v>
                </c:pt>
                <c:pt idx="481">
                  <c:v>80.89</c:v>
                </c:pt>
                <c:pt idx="482">
                  <c:v>81.209999999999994</c:v>
                </c:pt>
                <c:pt idx="483">
                  <c:v>80.17</c:v>
                </c:pt>
                <c:pt idx="484">
                  <c:v>79.41</c:v>
                </c:pt>
                <c:pt idx="485">
                  <c:v>80.349999999999994</c:v>
                </c:pt>
                <c:pt idx="486">
                  <c:v>82.28</c:v>
                </c:pt>
                <c:pt idx="487">
                  <c:v>82.82</c:v>
                </c:pt>
                <c:pt idx="488">
                  <c:v>83.6</c:v>
                </c:pt>
                <c:pt idx="489">
                  <c:v>85.63</c:v>
                </c:pt>
                <c:pt idx="490">
                  <c:v>91.04</c:v>
                </c:pt>
                <c:pt idx="491">
                  <c:v>91.58</c:v>
                </c:pt>
                <c:pt idx="492">
                  <c:v>90.76</c:v>
                </c:pt>
                <c:pt idx="493">
                  <c:v>91.92</c:v>
                </c:pt>
                <c:pt idx="494">
                  <c:v>91.14</c:v>
                </c:pt>
                <c:pt idx="495">
                  <c:v>92.63</c:v>
                </c:pt>
                <c:pt idx="496">
                  <c:v>92.41</c:v>
                </c:pt>
                <c:pt idx="497">
                  <c:v>92.84</c:v>
                </c:pt>
                <c:pt idx="498">
                  <c:v>93.66</c:v>
                </c:pt>
                <c:pt idx="499">
                  <c:v>93.64</c:v>
                </c:pt>
                <c:pt idx="500">
                  <c:v>93.25</c:v>
                </c:pt>
                <c:pt idx="501">
                  <c:v>93.9</c:v>
                </c:pt>
                <c:pt idx="502">
                  <c:v>91.91</c:v>
                </c:pt>
                <c:pt idx="503">
                  <c:v>92.15</c:v>
                </c:pt>
                <c:pt idx="504">
                  <c:v>93.24</c:v>
                </c:pt>
                <c:pt idx="505">
                  <c:v>93.51</c:v>
                </c:pt>
                <c:pt idx="506">
                  <c:v>92.06</c:v>
                </c:pt>
                <c:pt idx="507">
                  <c:v>91.48</c:v>
                </c:pt>
                <c:pt idx="508">
                  <c:v>90.51</c:v>
                </c:pt>
                <c:pt idx="509">
                  <c:v>89.7</c:v>
                </c:pt>
                <c:pt idx="510">
                  <c:v>85.97</c:v>
                </c:pt>
                <c:pt idx="511">
                  <c:v>84.41</c:v>
                </c:pt>
                <c:pt idx="512">
                  <c:v>83.9</c:v>
                </c:pt>
                <c:pt idx="513">
                  <c:v>85.34</c:v>
                </c:pt>
                <c:pt idx="514">
                  <c:v>85.73</c:v>
                </c:pt>
                <c:pt idx="515">
                  <c:v>86.74</c:v>
                </c:pt>
                <c:pt idx="516">
                  <c:v>87.57</c:v>
                </c:pt>
                <c:pt idx="517">
                  <c:v>88.02</c:v>
                </c:pt>
                <c:pt idx="518">
                  <c:v>87.73</c:v>
                </c:pt>
                <c:pt idx="519">
                  <c:v>87.62</c:v>
                </c:pt>
                <c:pt idx="520">
                  <c:v>87.62</c:v>
                </c:pt>
                <c:pt idx="521">
                  <c:v>87.24</c:v>
                </c:pt>
                <c:pt idx="522">
                  <c:v>86.82</c:v>
                </c:pt>
                <c:pt idx="523">
                  <c:v>87.27</c:v>
                </c:pt>
                <c:pt idx="524">
                  <c:v>85.89</c:v>
                </c:pt>
                <c:pt idx="525">
                  <c:v>86.1</c:v>
                </c:pt>
                <c:pt idx="526">
                  <c:v>86</c:v>
                </c:pt>
                <c:pt idx="527">
                  <c:v>85.65</c:v>
                </c:pt>
                <c:pt idx="528">
                  <c:v>85.89</c:v>
                </c:pt>
                <c:pt idx="529">
                  <c:v>86.87</c:v>
                </c:pt>
                <c:pt idx="530">
                  <c:v>83.97</c:v>
                </c:pt>
                <c:pt idx="531">
                  <c:v>84</c:v>
                </c:pt>
                <c:pt idx="532">
                  <c:v>85.67</c:v>
                </c:pt>
                <c:pt idx="533">
                  <c:v>86.5</c:v>
                </c:pt>
                <c:pt idx="534">
                  <c:v>85.35</c:v>
                </c:pt>
                <c:pt idx="535">
                  <c:v>85.46</c:v>
                </c:pt>
                <c:pt idx="536">
                  <c:v>85.85</c:v>
                </c:pt>
                <c:pt idx="537">
                  <c:v>86.55</c:v>
                </c:pt>
                <c:pt idx="538">
                  <c:v>85.67</c:v>
                </c:pt>
                <c:pt idx="539">
                  <c:v>85.49</c:v>
                </c:pt>
                <c:pt idx="540">
                  <c:v>86.05</c:v>
                </c:pt>
                <c:pt idx="541">
                  <c:v>86.04</c:v>
                </c:pt>
                <c:pt idx="542">
                  <c:v>86.48</c:v>
                </c:pt>
                <c:pt idx="543">
                  <c:v>90.04</c:v>
                </c:pt>
                <c:pt idx="544">
                  <c:v>89.13</c:v>
                </c:pt>
                <c:pt idx="545">
                  <c:v>85.66</c:v>
                </c:pt>
                <c:pt idx="546">
                  <c:v>86.14</c:v>
                </c:pt>
                <c:pt idx="547">
                  <c:v>87.04</c:v>
                </c:pt>
                <c:pt idx="548">
                  <c:v>86.94</c:v>
                </c:pt>
                <c:pt idx="549">
                  <c:v>87.05</c:v>
                </c:pt>
                <c:pt idx="550">
                  <c:v>89.35</c:v>
                </c:pt>
                <c:pt idx="551">
                  <c:v>89.1</c:v>
                </c:pt>
                <c:pt idx="552">
                  <c:v>88.38</c:v>
                </c:pt>
                <c:pt idx="553">
                  <c:v>87.96</c:v>
                </c:pt>
                <c:pt idx="554">
                  <c:v>88.42</c:v>
                </c:pt>
                <c:pt idx="555">
                  <c:v>91.35</c:v>
                </c:pt>
                <c:pt idx="556">
                  <c:v>93.4</c:v>
                </c:pt>
                <c:pt idx="557">
                  <c:v>91.95</c:v>
                </c:pt>
                <c:pt idx="558">
                  <c:v>91.14</c:v>
                </c:pt>
                <c:pt idx="559">
                  <c:v>91.28</c:v>
                </c:pt>
                <c:pt idx="560">
                  <c:v>93.5</c:v>
                </c:pt>
                <c:pt idx="561">
                  <c:v>94.16</c:v>
                </c:pt>
                <c:pt idx="562">
                  <c:v>93.53</c:v>
                </c:pt>
                <c:pt idx="563">
                  <c:v>92.71</c:v>
                </c:pt>
                <c:pt idx="564">
                  <c:v>93</c:v>
                </c:pt>
                <c:pt idx="565">
                  <c:v>92.28</c:v>
                </c:pt>
                <c:pt idx="566">
                  <c:v>92.47</c:v>
                </c:pt>
                <c:pt idx="567">
                  <c:v>93.21</c:v>
                </c:pt>
                <c:pt idx="568">
                  <c:v>94.08</c:v>
                </c:pt>
                <c:pt idx="569">
                  <c:v>91.65</c:v>
                </c:pt>
                <c:pt idx="570">
                  <c:v>86.84</c:v>
                </c:pt>
                <c:pt idx="571">
                  <c:v>86.19</c:v>
                </c:pt>
                <c:pt idx="572">
                  <c:v>86.99</c:v>
                </c:pt>
                <c:pt idx="573">
                  <c:v>89.14</c:v>
                </c:pt>
                <c:pt idx="574">
                  <c:v>90.08</c:v>
                </c:pt>
                <c:pt idx="575">
                  <c:v>90.26</c:v>
                </c:pt>
                <c:pt idx="576">
                  <c:v>90.66</c:v>
                </c:pt>
                <c:pt idx="577">
                  <c:v>92.09</c:v>
                </c:pt>
                <c:pt idx="578">
                  <c:v>93.76</c:v>
                </c:pt>
                <c:pt idx="579">
                  <c:v>93.85</c:v>
                </c:pt>
                <c:pt idx="580">
                  <c:v>92.56</c:v>
                </c:pt>
                <c:pt idx="581">
                  <c:v>92.83</c:v>
                </c:pt>
                <c:pt idx="582">
                  <c:v>92.11</c:v>
                </c:pt>
                <c:pt idx="583">
                  <c:v>90.84</c:v>
                </c:pt>
                <c:pt idx="584">
                  <c:v>91.54</c:v>
                </c:pt>
                <c:pt idx="585">
                  <c:v>92.65</c:v>
                </c:pt>
                <c:pt idx="586">
                  <c:v>93.64</c:v>
                </c:pt>
                <c:pt idx="587">
                  <c:v>94.79</c:v>
                </c:pt>
                <c:pt idx="588">
                  <c:v>95.79</c:v>
                </c:pt>
                <c:pt idx="589">
                  <c:v>95.64</c:v>
                </c:pt>
                <c:pt idx="590">
                  <c:v>98.11</c:v>
                </c:pt>
                <c:pt idx="591">
                  <c:v>98.28</c:v>
                </c:pt>
                <c:pt idx="592">
                  <c:v>98.56</c:v>
                </c:pt>
                <c:pt idx="593">
                  <c:v>99.38</c:v>
                </c:pt>
                <c:pt idx="594">
                  <c:v>100.52</c:v>
                </c:pt>
                <c:pt idx="595">
                  <c:v>99.58</c:v>
                </c:pt>
                <c:pt idx="596">
                  <c:v>100.22</c:v>
                </c:pt>
                <c:pt idx="597">
                  <c:v>100.33</c:v>
                </c:pt>
                <c:pt idx="598">
                  <c:v>101.53</c:v>
                </c:pt>
                <c:pt idx="599">
                  <c:v>100.74</c:v>
                </c:pt>
                <c:pt idx="600">
                  <c:v>98.92</c:v>
                </c:pt>
                <c:pt idx="601">
                  <c:v>98.97</c:v>
                </c:pt>
                <c:pt idx="602">
                  <c:v>98.67</c:v>
                </c:pt>
                <c:pt idx="603">
                  <c:v>97.27</c:v>
                </c:pt>
                <c:pt idx="604">
                  <c:v>97.23</c:v>
                </c:pt>
                <c:pt idx="605">
                  <c:v>97.84</c:v>
                </c:pt>
                <c:pt idx="606">
                  <c:v>97.41</c:v>
                </c:pt>
                <c:pt idx="607">
                  <c:v>96.58</c:v>
                </c:pt>
                <c:pt idx="608">
                  <c:v>96.66</c:v>
                </c:pt>
                <c:pt idx="609">
                  <c:v>96.85</c:v>
                </c:pt>
                <c:pt idx="610">
                  <c:v>97.14</c:v>
                </c:pt>
                <c:pt idx="611">
                  <c:v>96.39</c:v>
                </c:pt>
                <c:pt idx="612">
                  <c:v>95.43</c:v>
                </c:pt>
                <c:pt idx="613">
                  <c:v>95.65</c:v>
                </c:pt>
                <c:pt idx="614">
                  <c:v>95.21</c:v>
                </c:pt>
                <c:pt idx="615">
                  <c:v>95.5</c:v>
                </c:pt>
                <c:pt idx="616">
                  <c:v>97.04</c:v>
                </c:pt>
                <c:pt idx="617">
                  <c:v>97.57</c:v>
                </c:pt>
                <c:pt idx="618">
                  <c:v>97.44</c:v>
                </c:pt>
                <c:pt idx="619">
                  <c:v>96.16</c:v>
                </c:pt>
                <c:pt idx="620">
                  <c:v>97.1</c:v>
                </c:pt>
                <c:pt idx="621">
                  <c:v>97.8</c:v>
                </c:pt>
                <c:pt idx="622">
                  <c:v>96.89</c:v>
                </c:pt>
                <c:pt idx="623">
                  <c:v>95.77</c:v>
                </c:pt>
                <c:pt idx="624">
                  <c:v>97.19</c:v>
                </c:pt>
                <c:pt idx="625">
                  <c:v>99.16</c:v>
                </c:pt>
                <c:pt idx="626">
                  <c:v>99.65</c:v>
                </c:pt>
                <c:pt idx="627">
                  <c:v>100.2</c:v>
                </c:pt>
                <c:pt idx="628">
                  <c:v>99.59</c:v>
                </c:pt>
                <c:pt idx="629">
                  <c:v>100.59</c:v>
                </c:pt>
                <c:pt idx="630">
                  <c:v>102.61</c:v>
                </c:pt>
                <c:pt idx="631">
                  <c:v>103.46</c:v>
                </c:pt>
                <c:pt idx="632">
                  <c:v>104.64</c:v>
                </c:pt>
                <c:pt idx="633">
                  <c:v>104.09</c:v>
                </c:pt>
                <c:pt idx="634">
                  <c:v>105.26</c:v>
                </c:pt>
                <c:pt idx="635">
                  <c:v>106.22</c:v>
                </c:pt>
                <c:pt idx="636">
                  <c:v>106.96</c:v>
                </c:pt>
                <c:pt idx="637">
                  <c:v>104.81</c:v>
                </c:pt>
                <c:pt idx="638">
                  <c:v>102.09</c:v>
                </c:pt>
                <c:pt idx="639">
                  <c:v>102.44</c:v>
                </c:pt>
                <c:pt idx="640">
                  <c:v>103.5</c:v>
                </c:pt>
                <c:pt idx="641">
                  <c:v>101.97</c:v>
                </c:pt>
                <c:pt idx="642">
                  <c:v>103.56</c:v>
                </c:pt>
                <c:pt idx="643">
                  <c:v>104.19</c:v>
                </c:pt>
                <c:pt idx="644">
                  <c:v>102.48</c:v>
                </c:pt>
                <c:pt idx="645">
                  <c:v>103.76</c:v>
                </c:pt>
                <c:pt idx="646">
                  <c:v>103.21</c:v>
                </c:pt>
                <c:pt idx="647">
                  <c:v>101.76</c:v>
                </c:pt>
                <c:pt idx="648">
                  <c:v>95.85</c:v>
                </c:pt>
                <c:pt idx="649">
                  <c:v>92.07</c:v>
                </c:pt>
                <c:pt idx="650">
                  <c:v>92.97</c:v>
                </c:pt>
                <c:pt idx="651">
                  <c:v>92.11</c:v>
                </c:pt>
                <c:pt idx="652">
                  <c:v>94.63</c:v>
                </c:pt>
                <c:pt idx="653">
                  <c:v>94.72</c:v>
                </c:pt>
                <c:pt idx="654">
                  <c:v>94.84</c:v>
                </c:pt>
                <c:pt idx="655">
                  <c:v>96.71</c:v>
                </c:pt>
                <c:pt idx="656">
                  <c:v>99.44</c:v>
                </c:pt>
                <c:pt idx="657">
                  <c:v>100.64</c:v>
                </c:pt>
                <c:pt idx="658">
                  <c:v>101.44</c:v>
                </c:pt>
                <c:pt idx="659">
                  <c:v>101.75</c:v>
                </c:pt>
                <c:pt idx="660">
                  <c:v>100.78</c:v>
                </c:pt>
                <c:pt idx="661">
                  <c:v>100.69</c:v>
                </c:pt>
                <c:pt idx="662">
                  <c:v>100.56</c:v>
                </c:pt>
                <c:pt idx="663">
                  <c:v>101.89</c:v>
                </c:pt>
                <c:pt idx="664">
                  <c:v>102.33</c:v>
                </c:pt>
                <c:pt idx="665">
                  <c:v>102.08</c:v>
                </c:pt>
                <c:pt idx="666">
                  <c:v>102.2</c:v>
                </c:pt>
                <c:pt idx="667">
                  <c:v>102.6</c:v>
                </c:pt>
                <c:pt idx="668">
                  <c:v>103.61</c:v>
                </c:pt>
                <c:pt idx="669">
                  <c:v>99.27</c:v>
                </c:pt>
                <c:pt idx="670">
                  <c:v>100.15</c:v>
                </c:pt>
                <c:pt idx="671">
                  <c:v>99.56</c:v>
                </c:pt>
                <c:pt idx="672">
                  <c:v>96.59</c:v>
                </c:pt>
                <c:pt idx="673">
                  <c:v>98.18</c:v>
                </c:pt>
                <c:pt idx="674">
                  <c:v>96.62</c:v>
                </c:pt>
                <c:pt idx="675">
                  <c:v>97.03</c:v>
                </c:pt>
                <c:pt idx="676">
                  <c:v>96.64</c:v>
                </c:pt>
                <c:pt idx="677">
                  <c:v>98.25</c:v>
                </c:pt>
                <c:pt idx="678">
                  <c:v>100.09</c:v>
                </c:pt>
                <c:pt idx="679">
                  <c:v>99.84</c:v>
                </c:pt>
                <c:pt idx="680">
                  <c:v>99.3</c:v>
                </c:pt>
                <c:pt idx="681">
                  <c:v>100.73</c:v>
                </c:pt>
                <c:pt idx="682">
                  <c:v>102.47</c:v>
                </c:pt>
                <c:pt idx="683">
                  <c:v>102.47</c:v>
                </c:pt>
                <c:pt idx="684">
                  <c:v>102.58</c:v>
                </c:pt>
                <c:pt idx="685">
                  <c:v>102.34</c:v>
                </c:pt>
                <c:pt idx="686">
                  <c:v>104.6</c:v>
                </c:pt>
                <c:pt idx="687">
                  <c:v>104.11</c:v>
                </c:pt>
                <c:pt idx="688">
                  <c:v>104.24</c:v>
                </c:pt>
                <c:pt idx="689">
                  <c:v>104.42</c:v>
                </c:pt>
                <c:pt idx="690">
                  <c:v>104.52</c:v>
                </c:pt>
                <c:pt idx="691">
                  <c:v>104.57</c:v>
                </c:pt>
                <c:pt idx="692">
                  <c:v>107.88</c:v>
                </c:pt>
                <c:pt idx="693">
                  <c:v>107.64</c:v>
                </c:pt>
                <c:pt idx="694">
                  <c:v>107.49</c:v>
                </c:pt>
                <c:pt idx="695">
                  <c:v>109.04</c:v>
                </c:pt>
                <c:pt idx="696">
                  <c:v>108.08</c:v>
                </c:pt>
                <c:pt idx="697">
                  <c:v>110.46</c:v>
                </c:pt>
                <c:pt idx="698">
                  <c:v>112.28</c:v>
                </c:pt>
                <c:pt idx="699">
                  <c:v>112.22</c:v>
                </c:pt>
                <c:pt idx="700">
                  <c:v>119.51</c:v>
                </c:pt>
                <c:pt idx="701">
                  <c:v>119.44</c:v>
                </c:pt>
                <c:pt idx="702">
                  <c:v>121.06</c:v>
                </c:pt>
                <c:pt idx="703">
                  <c:v>118.28</c:v>
                </c:pt>
                <c:pt idx="704">
                  <c:v>118.32</c:v>
                </c:pt>
                <c:pt idx="705">
                  <c:v>118.28</c:v>
                </c:pt>
                <c:pt idx="706">
                  <c:v>119.17</c:v>
                </c:pt>
                <c:pt idx="707">
                  <c:v>116.88</c:v>
                </c:pt>
                <c:pt idx="708">
                  <c:v>119.13</c:v>
                </c:pt>
                <c:pt idx="709">
                  <c:v>119.3</c:v>
                </c:pt>
                <c:pt idx="710">
                  <c:v>117.92</c:v>
                </c:pt>
                <c:pt idx="711">
                  <c:v>116.25</c:v>
                </c:pt>
                <c:pt idx="712">
                  <c:v>116.85</c:v>
                </c:pt>
                <c:pt idx="713">
                  <c:v>116.14</c:v>
                </c:pt>
                <c:pt idx="714">
                  <c:v>117.81</c:v>
                </c:pt>
                <c:pt idx="715">
                  <c:v>131.49</c:v>
                </c:pt>
                <c:pt idx="716">
                  <c:v>128.44</c:v>
                </c:pt>
                <c:pt idx="717">
                  <c:v>129.53</c:v>
                </c:pt>
                <c:pt idx="718">
                  <c:v>133.52000000000001</c:v>
                </c:pt>
                <c:pt idx="719">
                  <c:v>132.31</c:v>
                </c:pt>
                <c:pt idx="720">
                  <c:v>132.76</c:v>
                </c:pt>
                <c:pt idx="721">
                  <c:v>132.43</c:v>
                </c:pt>
                <c:pt idx="722">
                  <c:v>134.06</c:v>
                </c:pt>
                <c:pt idx="723">
                  <c:v>133.78</c:v>
                </c:pt>
                <c:pt idx="724">
                  <c:v>132.24</c:v>
                </c:pt>
                <c:pt idx="725">
                  <c:v>131.69</c:v>
                </c:pt>
                <c:pt idx="726">
                  <c:v>134.99</c:v>
                </c:pt>
                <c:pt idx="727">
                  <c:v>134.69</c:v>
                </c:pt>
                <c:pt idx="728">
                  <c:v>133.66</c:v>
                </c:pt>
                <c:pt idx="729">
                  <c:v>131.28</c:v>
                </c:pt>
                <c:pt idx="730">
                  <c:v>131.21</c:v>
                </c:pt>
                <c:pt idx="731">
                  <c:v>131.61000000000001</c:v>
                </c:pt>
                <c:pt idx="732">
                  <c:v>131.03</c:v>
                </c:pt>
                <c:pt idx="733">
                  <c:v>130.44</c:v>
                </c:pt>
                <c:pt idx="734">
                  <c:v>129.99</c:v>
                </c:pt>
                <c:pt idx="735">
                  <c:v>130.32</c:v>
                </c:pt>
                <c:pt idx="736">
                  <c:v>129.96</c:v>
                </c:pt>
                <c:pt idx="737">
                  <c:v>128.58000000000001</c:v>
                </c:pt>
                <c:pt idx="738">
                  <c:v>126.79</c:v>
                </c:pt>
                <c:pt idx="739">
                  <c:v>127.59</c:v>
                </c:pt>
                <c:pt idx="740">
                  <c:v>127.91</c:v>
                </c:pt>
                <c:pt idx="741">
                  <c:v>127.4</c:v>
                </c:pt>
                <c:pt idx="742">
                  <c:v>129.03</c:v>
                </c:pt>
                <c:pt idx="743">
                  <c:v>127.74</c:v>
                </c:pt>
                <c:pt idx="744">
                  <c:v>121.04</c:v>
                </c:pt>
                <c:pt idx="745">
                  <c:v>120.5</c:v>
                </c:pt>
                <c:pt idx="746">
                  <c:v>123.44</c:v>
                </c:pt>
                <c:pt idx="747">
                  <c:v>124.45</c:v>
                </c:pt>
                <c:pt idx="748">
                  <c:v>127.06</c:v>
                </c:pt>
                <c:pt idx="749">
                  <c:v>128.03</c:v>
                </c:pt>
                <c:pt idx="750">
                  <c:v>126.76</c:v>
                </c:pt>
                <c:pt idx="751">
                  <c:v>125.75</c:v>
                </c:pt>
                <c:pt idx="752">
                  <c:v>125.72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B-4251-8F6E-51D632D54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265913"/>
        <c:axId val="2049021766"/>
      </c:lineChart>
      <c:dateAx>
        <c:axId val="424265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m/d/yyyy\ h:mm:ss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9021766"/>
        <c:crosses val="autoZero"/>
        <c:auto val="1"/>
        <c:lblOffset val="100"/>
        <c:baseTimeUnit val="days"/>
      </c:dateAx>
      <c:valAx>
        <c:axId val="20490217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426591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GS Closing Prices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chemeClr val="dk1"/>
              </a:solidFill>
            </a:ln>
          </c:spPr>
          <c:marker>
            <c:symbol val="none"/>
          </c:marker>
          <c:cat>
            <c:numRef>
              <c:f>Sheet1!$B$6:$B$758</c:f>
              <c:numCache>
                <c:formatCode>m/d/yyyy\ h:mm:ss</c:formatCode>
                <c:ptCount val="753"/>
                <c:pt idx="0">
                  <c:v>44564.666666666599</c:v>
                </c:pt>
                <c:pt idx="1">
                  <c:v>44565.666666666599</c:v>
                </c:pt>
                <c:pt idx="2">
                  <c:v>44566.666666666599</c:v>
                </c:pt>
                <c:pt idx="3">
                  <c:v>44567.666666666599</c:v>
                </c:pt>
                <c:pt idx="4">
                  <c:v>44568.666666666599</c:v>
                </c:pt>
                <c:pt idx="5">
                  <c:v>44571.666666666599</c:v>
                </c:pt>
                <c:pt idx="6">
                  <c:v>44572.666666666599</c:v>
                </c:pt>
                <c:pt idx="7">
                  <c:v>44573.666666666599</c:v>
                </c:pt>
                <c:pt idx="8">
                  <c:v>44574.666666666599</c:v>
                </c:pt>
                <c:pt idx="9">
                  <c:v>44575.666666666599</c:v>
                </c:pt>
                <c:pt idx="10">
                  <c:v>44579.666666666599</c:v>
                </c:pt>
                <c:pt idx="11">
                  <c:v>44580.666666666599</c:v>
                </c:pt>
                <c:pt idx="12">
                  <c:v>44581.666666666599</c:v>
                </c:pt>
                <c:pt idx="13">
                  <c:v>44582.666666666599</c:v>
                </c:pt>
                <c:pt idx="14">
                  <c:v>44585.666666666599</c:v>
                </c:pt>
                <c:pt idx="15">
                  <c:v>44586.666666666599</c:v>
                </c:pt>
                <c:pt idx="16">
                  <c:v>44587.666666666599</c:v>
                </c:pt>
                <c:pt idx="17">
                  <c:v>44588.666666666599</c:v>
                </c:pt>
                <c:pt idx="18">
                  <c:v>44589.666666666599</c:v>
                </c:pt>
                <c:pt idx="19">
                  <c:v>44592.666666666599</c:v>
                </c:pt>
                <c:pt idx="20">
                  <c:v>44593.666666666599</c:v>
                </c:pt>
                <c:pt idx="21">
                  <c:v>44594.666666666599</c:v>
                </c:pt>
                <c:pt idx="22">
                  <c:v>44595.666666666599</c:v>
                </c:pt>
                <c:pt idx="23">
                  <c:v>44596.666666666599</c:v>
                </c:pt>
                <c:pt idx="24">
                  <c:v>44599.666666666599</c:v>
                </c:pt>
                <c:pt idx="25">
                  <c:v>44600.666666666599</c:v>
                </c:pt>
                <c:pt idx="26">
                  <c:v>44601.666666666599</c:v>
                </c:pt>
                <c:pt idx="27">
                  <c:v>44602.666666666599</c:v>
                </c:pt>
                <c:pt idx="28">
                  <c:v>44603.666666666599</c:v>
                </c:pt>
                <c:pt idx="29">
                  <c:v>44606.666666666599</c:v>
                </c:pt>
                <c:pt idx="30">
                  <c:v>44607.666666666599</c:v>
                </c:pt>
                <c:pt idx="31">
                  <c:v>44608.666666666599</c:v>
                </c:pt>
                <c:pt idx="32">
                  <c:v>44609.666666666599</c:v>
                </c:pt>
                <c:pt idx="33">
                  <c:v>44610.666666666599</c:v>
                </c:pt>
                <c:pt idx="34">
                  <c:v>44614.666666666599</c:v>
                </c:pt>
                <c:pt idx="35">
                  <c:v>44615.666666666599</c:v>
                </c:pt>
                <c:pt idx="36">
                  <c:v>44616.666666666599</c:v>
                </c:pt>
                <c:pt idx="37">
                  <c:v>44617.666666666599</c:v>
                </c:pt>
                <c:pt idx="38">
                  <c:v>44620.666666666599</c:v>
                </c:pt>
                <c:pt idx="39">
                  <c:v>44621.666666666599</c:v>
                </c:pt>
                <c:pt idx="40">
                  <c:v>44622.666666666599</c:v>
                </c:pt>
                <c:pt idx="41">
                  <c:v>44623.666666666599</c:v>
                </c:pt>
                <c:pt idx="42">
                  <c:v>44624.666666666599</c:v>
                </c:pt>
                <c:pt idx="43">
                  <c:v>44627.666666666599</c:v>
                </c:pt>
                <c:pt idx="44">
                  <c:v>44628.666666666599</c:v>
                </c:pt>
                <c:pt idx="45">
                  <c:v>44629.666666666599</c:v>
                </c:pt>
                <c:pt idx="46">
                  <c:v>44630.666666666599</c:v>
                </c:pt>
                <c:pt idx="47">
                  <c:v>44631.666666666599</c:v>
                </c:pt>
                <c:pt idx="48">
                  <c:v>44634.666666666599</c:v>
                </c:pt>
                <c:pt idx="49">
                  <c:v>44635.666666666599</c:v>
                </c:pt>
                <c:pt idx="50">
                  <c:v>44636.666666666599</c:v>
                </c:pt>
                <c:pt idx="51">
                  <c:v>44637.666666666599</c:v>
                </c:pt>
                <c:pt idx="52">
                  <c:v>44638.666666666599</c:v>
                </c:pt>
                <c:pt idx="53">
                  <c:v>44641.666666666599</c:v>
                </c:pt>
                <c:pt idx="54">
                  <c:v>44642.666666666599</c:v>
                </c:pt>
                <c:pt idx="55">
                  <c:v>44643.666666666599</c:v>
                </c:pt>
                <c:pt idx="56">
                  <c:v>44644.666666666599</c:v>
                </c:pt>
                <c:pt idx="57">
                  <c:v>44645.666666666599</c:v>
                </c:pt>
                <c:pt idx="58">
                  <c:v>44648.666666666599</c:v>
                </c:pt>
                <c:pt idx="59">
                  <c:v>44649.666666666599</c:v>
                </c:pt>
                <c:pt idx="60">
                  <c:v>44650.666666666599</c:v>
                </c:pt>
                <c:pt idx="61">
                  <c:v>44651.666666666599</c:v>
                </c:pt>
                <c:pt idx="62">
                  <c:v>44652.666666666599</c:v>
                </c:pt>
                <c:pt idx="63">
                  <c:v>44655.666666666599</c:v>
                </c:pt>
                <c:pt idx="64">
                  <c:v>44656.666666666599</c:v>
                </c:pt>
                <c:pt idx="65">
                  <c:v>44657.666666666599</c:v>
                </c:pt>
                <c:pt idx="66">
                  <c:v>44658.666666666599</c:v>
                </c:pt>
                <c:pt idx="67">
                  <c:v>44659.666666666599</c:v>
                </c:pt>
                <c:pt idx="68">
                  <c:v>44662.666666666599</c:v>
                </c:pt>
                <c:pt idx="69">
                  <c:v>44663.666666666599</c:v>
                </c:pt>
                <c:pt idx="70">
                  <c:v>44664.666666666599</c:v>
                </c:pt>
                <c:pt idx="71">
                  <c:v>44665.666666666599</c:v>
                </c:pt>
                <c:pt idx="72">
                  <c:v>44669.666666666599</c:v>
                </c:pt>
                <c:pt idx="73">
                  <c:v>44670.666666666599</c:v>
                </c:pt>
                <c:pt idx="74">
                  <c:v>44671.666666666599</c:v>
                </c:pt>
                <c:pt idx="75">
                  <c:v>44672.666666666599</c:v>
                </c:pt>
                <c:pt idx="76">
                  <c:v>44673.666666666599</c:v>
                </c:pt>
                <c:pt idx="77">
                  <c:v>44676.666666666599</c:v>
                </c:pt>
                <c:pt idx="78">
                  <c:v>44677.666666666599</c:v>
                </c:pt>
                <c:pt idx="79">
                  <c:v>44678.666666666599</c:v>
                </c:pt>
                <c:pt idx="80">
                  <c:v>44679.666666666599</c:v>
                </c:pt>
                <c:pt idx="81">
                  <c:v>44680.666666666599</c:v>
                </c:pt>
                <c:pt idx="82">
                  <c:v>44683.666666666599</c:v>
                </c:pt>
                <c:pt idx="83">
                  <c:v>44684.666666666599</c:v>
                </c:pt>
                <c:pt idx="84">
                  <c:v>44685.666666666599</c:v>
                </c:pt>
                <c:pt idx="85">
                  <c:v>44686.666666666599</c:v>
                </c:pt>
                <c:pt idx="86">
                  <c:v>44687.666666666599</c:v>
                </c:pt>
                <c:pt idx="87">
                  <c:v>44690.666666666599</c:v>
                </c:pt>
                <c:pt idx="88">
                  <c:v>44691.666666666599</c:v>
                </c:pt>
                <c:pt idx="89">
                  <c:v>44692.666666666599</c:v>
                </c:pt>
                <c:pt idx="90">
                  <c:v>44693.666666666599</c:v>
                </c:pt>
                <c:pt idx="91">
                  <c:v>44694.666666666599</c:v>
                </c:pt>
                <c:pt idx="92">
                  <c:v>44697.666666666599</c:v>
                </c:pt>
                <c:pt idx="93">
                  <c:v>44698.666666666599</c:v>
                </c:pt>
                <c:pt idx="94">
                  <c:v>44699.666666666599</c:v>
                </c:pt>
                <c:pt idx="95">
                  <c:v>44700.666666666599</c:v>
                </c:pt>
                <c:pt idx="96">
                  <c:v>44701.666666666599</c:v>
                </c:pt>
                <c:pt idx="97">
                  <c:v>44704.666666666599</c:v>
                </c:pt>
                <c:pt idx="98">
                  <c:v>44705.666666666599</c:v>
                </c:pt>
                <c:pt idx="99">
                  <c:v>44706.666666666599</c:v>
                </c:pt>
                <c:pt idx="100">
                  <c:v>44707.666666666599</c:v>
                </c:pt>
                <c:pt idx="101">
                  <c:v>44708.666666666599</c:v>
                </c:pt>
                <c:pt idx="102">
                  <c:v>44712.666666666599</c:v>
                </c:pt>
                <c:pt idx="103">
                  <c:v>44713.666666666599</c:v>
                </c:pt>
                <c:pt idx="104">
                  <c:v>44714.666666666599</c:v>
                </c:pt>
                <c:pt idx="105">
                  <c:v>44715.666666666599</c:v>
                </c:pt>
                <c:pt idx="106">
                  <c:v>44718.666666666599</c:v>
                </c:pt>
                <c:pt idx="107">
                  <c:v>44719.666666666599</c:v>
                </c:pt>
                <c:pt idx="108">
                  <c:v>44720.666666666599</c:v>
                </c:pt>
                <c:pt idx="109">
                  <c:v>44721.666666666599</c:v>
                </c:pt>
                <c:pt idx="110">
                  <c:v>44722.666666666599</c:v>
                </c:pt>
                <c:pt idx="111">
                  <c:v>44725.666666666599</c:v>
                </c:pt>
                <c:pt idx="112">
                  <c:v>44726.666666666599</c:v>
                </c:pt>
                <c:pt idx="113">
                  <c:v>44727.666666666599</c:v>
                </c:pt>
                <c:pt idx="114">
                  <c:v>44728.666666666599</c:v>
                </c:pt>
                <c:pt idx="115">
                  <c:v>44729.666666666599</c:v>
                </c:pt>
                <c:pt idx="116">
                  <c:v>44733.666666666599</c:v>
                </c:pt>
                <c:pt idx="117">
                  <c:v>44734.666666666599</c:v>
                </c:pt>
                <c:pt idx="118">
                  <c:v>44735.666666666599</c:v>
                </c:pt>
                <c:pt idx="119">
                  <c:v>44736.666666666599</c:v>
                </c:pt>
                <c:pt idx="120">
                  <c:v>44739.666666666599</c:v>
                </c:pt>
                <c:pt idx="121">
                  <c:v>44740.666666666599</c:v>
                </c:pt>
                <c:pt idx="122">
                  <c:v>44741.666666666599</c:v>
                </c:pt>
                <c:pt idx="123">
                  <c:v>44742.666666666599</c:v>
                </c:pt>
                <c:pt idx="124">
                  <c:v>44743.666666666599</c:v>
                </c:pt>
                <c:pt idx="125">
                  <c:v>44747.666666666599</c:v>
                </c:pt>
                <c:pt idx="126">
                  <c:v>44748.666666666599</c:v>
                </c:pt>
                <c:pt idx="127">
                  <c:v>44749.666666666599</c:v>
                </c:pt>
                <c:pt idx="128">
                  <c:v>44750.666666666599</c:v>
                </c:pt>
                <c:pt idx="129">
                  <c:v>44753.666666666599</c:v>
                </c:pt>
                <c:pt idx="130">
                  <c:v>44754.666666666599</c:v>
                </c:pt>
                <c:pt idx="131">
                  <c:v>44755.666666666599</c:v>
                </c:pt>
                <c:pt idx="132">
                  <c:v>44756.666666666599</c:v>
                </c:pt>
                <c:pt idx="133">
                  <c:v>44757.666666666599</c:v>
                </c:pt>
                <c:pt idx="134">
                  <c:v>44760.666666666599</c:v>
                </c:pt>
                <c:pt idx="135">
                  <c:v>44761.666666666599</c:v>
                </c:pt>
                <c:pt idx="136">
                  <c:v>44762.666666666599</c:v>
                </c:pt>
                <c:pt idx="137">
                  <c:v>44763.666666666599</c:v>
                </c:pt>
                <c:pt idx="138">
                  <c:v>44764.666666666599</c:v>
                </c:pt>
                <c:pt idx="139">
                  <c:v>44767.666666666599</c:v>
                </c:pt>
                <c:pt idx="140">
                  <c:v>44768.666666666599</c:v>
                </c:pt>
                <c:pt idx="141">
                  <c:v>44769.666666666599</c:v>
                </c:pt>
                <c:pt idx="142">
                  <c:v>44770.666666666599</c:v>
                </c:pt>
                <c:pt idx="143">
                  <c:v>44771.666666666599</c:v>
                </c:pt>
                <c:pt idx="144">
                  <c:v>44774.666666666599</c:v>
                </c:pt>
                <c:pt idx="145">
                  <c:v>44775.666666666599</c:v>
                </c:pt>
                <c:pt idx="146">
                  <c:v>44776.666666666599</c:v>
                </c:pt>
                <c:pt idx="147">
                  <c:v>44777.666666666599</c:v>
                </c:pt>
                <c:pt idx="148">
                  <c:v>44778.666666666599</c:v>
                </c:pt>
                <c:pt idx="149">
                  <c:v>44781.666666666599</c:v>
                </c:pt>
                <c:pt idx="150">
                  <c:v>44782.666666666599</c:v>
                </c:pt>
                <c:pt idx="151">
                  <c:v>44783.666666666599</c:v>
                </c:pt>
                <c:pt idx="152">
                  <c:v>44784.666666666599</c:v>
                </c:pt>
                <c:pt idx="153">
                  <c:v>44785.666666666599</c:v>
                </c:pt>
                <c:pt idx="154">
                  <c:v>44788.666666666599</c:v>
                </c:pt>
                <c:pt idx="155">
                  <c:v>44789.666666666599</c:v>
                </c:pt>
                <c:pt idx="156">
                  <c:v>44790.666666666599</c:v>
                </c:pt>
                <c:pt idx="157">
                  <c:v>44791.666666666599</c:v>
                </c:pt>
                <c:pt idx="158">
                  <c:v>44792.666666666599</c:v>
                </c:pt>
                <c:pt idx="159">
                  <c:v>44795.666666666599</c:v>
                </c:pt>
                <c:pt idx="160">
                  <c:v>44796.666666666599</c:v>
                </c:pt>
                <c:pt idx="161">
                  <c:v>44797.666666666599</c:v>
                </c:pt>
                <c:pt idx="162">
                  <c:v>44798.666666666599</c:v>
                </c:pt>
                <c:pt idx="163">
                  <c:v>44799.666666666599</c:v>
                </c:pt>
                <c:pt idx="164">
                  <c:v>44802.666666666599</c:v>
                </c:pt>
                <c:pt idx="165">
                  <c:v>44803.666666666599</c:v>
                </c:pt>
                <c:pt idx="166">
                  <c:v>44804.666666666599</c:v>
                </c:pt>
                <c:pt idx="167">
                  <c:v>44805.666666666599</c:v>
                </c:pt>
                <c:pt idx="168">
                  <c:v>44806.666666666599</c:v>
                </c:pt>
                <c:pt idx="169">
                  <c:v>44810.666666666599</c:v>
                </c:pt>
                <c:pt idx="170">
                  <c:v>44811.666666666599</c:v>
                </c:pt>
                <c:pt idx="171">
                  <c:v>44812.666666666599</c:v>
                </c:pt>
                <c:pt idx="172">
                  <c:v>44813.666666666599</c:v>
                </c:pt>
                <c:pt idx="173">
                  <c:v>44816.666666666599</c:v>
                </c:pt>
                <c:pt idx="174">
                  <c:v>44817.666666666599</c:v>
                </c:pt>
                <c:pt idx="175">
                  <c:v>44818.666666666599</c:v>
                </c:pt>
                <c:pt idx="176">
                  <c:v>44819.666666666599</c:v>
                </c:pt>
                <c:pt idx="177">
                  <c:v>44820.666666666599</c:v>
                </c:pt>
                <c:pt idx="178">
                  <c:v>44823.666666666599</c:v>
                </c:pt>
                <c:pt idx="179">
                  <c:v>44824.666666666599</c:v>
                </c:pt>
                <c:pt idx="180">
                  <c:v>44825.666666666599</c:v>
                </c:pt>
                <c:pt idx="181">
                  <c:v>44826.666666666599</c:v>
                </c:pt>
                <c:pt idx="182">
                  <c:v>44827.666666666599</c:v>
                </c:pt>
                <c:pt idx="183">
                  <c:v>44830.666666666599</c:v>
                </c:pt>
                <c:pt idx="184">
                  <c:v>44831.666666666599</c:v>
                </c:pt>
                <c:pt idx="185">
                  <c:v>44832.666666666599</c:v>
                </c:pt>
                <c:pt idx="186">
                  <c:v>44833.666666666599</c:v>
                </c:pt>
                <c:pt idx="187">
                  <c:v>44834.666666666599</c:v>
                </c:pt>
                <c:pt idx="188">
                  <c:v>44837.666666666599</c:v>
                </c:pt>
                <c:pt idx="189">
                  <c:v>44838.666666666599</c:v>
                </c:pt>
                <c:pt idx="190">
                  <c:v>44839.666666666599</c:v>
                </c:pt>
                <c:pt idx="191">
                  <c:v>44840.666666666599</c:v>
                </c:pt>
                <c:pt idx="192">
                  <c:v>44841.666666666599</c:v>
                </c:pt>
                <c:pt idx="193">
                  <c:v>44844.666666666599</c:v>
                </c:pt>
                <c:pt idx="194">
                  <c:v>44845.666666666599</c:v>
                </c:pt>
                <c:pt idx="195">
                  <c:v>44846.666666666599</c:v>
                </c:pt>
                <c:pt idx="196">
                  <c:v>44847.666666666599</c:v>
                </c:pt>
                <c:pt idx="197">
                  <c:v>44848.666666666599</c:v>
                </c:pt>
                <c:pt idx="198">
                  <c:v>44851.666666666599</c:v>
                </c:pt>
                <c:pt idx="199">
                  <c:v>44852.666666666599</c:v>
                </c:pt>
                <c:pt idx="200">
                  <c:v>44853.666666666599</c:v>
                </c:pt>
                <c:pt idx="201">
                  <c:v>44854.666666666599</c:v>
                </c:pt>
                <c:pt idx="202">
                  <c:v>44855.666666666599</c:v>
                </c:pt>
                <c:pt idx="203">
                  <c:v>44858.666666666599</c:v>
                </c:pt>
                <c:pt idx="204">
                  <c:v>44859.666666666599</c:v>
                </c:pt>
                <c:pt idx="205">
                  <c:v>44860.666666666599</c:v>
                </c:pt>
                <c:pt idx="206">
                  <c:v>44861.666666666599</c:v>
                </c:pt>
                <c:pt idx="207">
                  <c:v>44862.666666666599</c:v>
                </c:pt>
                <c:pt idx="208">
                  <c:v>44865.666666666599</c:v>
                </c:pt>
                <c:pt idx="209">
                  <c:v>44866.666666666599</c:v>
                </c:pt>
                <c:pt idx="210">
                  <c:v>44867.666666666599</c:v>
                </c:pt>
                <c:pt idx="211">
                  <c:v>44868.666666666599</c:v>
                </c:pt>
                <c:pt idx="212">
                  <c:v>44869.666666666599</c:v>
                </c:pt>
                <c:pt idx="213">
                  <c:v>44872.666666666599</c:v>
                </c:pt>
                <c:pt idx="214">
                  <c:v>44873.666666666599</c:v>
                </c:pt>
                <c:pt idx="215">
                  <c:v>44874.666666666599</c:v>
                </c:pt>
                <c:pt idx="216">
                  <c:v>44875.666666666599</c:v>
                </c:pt>
                <c:pt idx="217">
                  <c:v>44876.666666666599</c:v>
                </c:pt>
                <c:pt idx="218">
                  <c:v>44879.666666666599</c:v>
                </c:pt>
                <c:pt idx="219">
                  <c:v>44880.666666666599</c:v>
                </c:pt>
                <c:pt idx="220">
                  <c:v>44881.666666666599</c:v>
                </c:pt>
                <c:pt idx="221">
                  <c:v>44882.666666666599</c:v>
                </c:pt>
                <c:pt idx="222">
                  <c:v>44883.666666666599</c:v>
                </c:pt>
                <c:pt idx="223">
                  <c:v>44886.666666666599</c:v>
                </c:pt>
                <c:pt idx="224">
                  <c:v>44887.666666666599</c:v>
                </c:pt>
                <c:pt idx="225">
                  <c:v>44888.666666666599</c:v>
                </c:pt>
                <c:pt idx="226">
                  <c:v>44890.541666666599</c:v>
                </c:pt>
                <c:pt idx="227">
                  <c:v>44893.666666666599</c:v>
                </c:pt>
                <c:pt idx="228">
                  <c:v>44894.666666666599</c:v>
                </c:pt>
                <c:pt idx="229">
                  <c:v>44895.666666666599</c:v>
                </c:pt>
                <c:pt idx="230">
                  <c:v>44896.666666666599</c:v>
                </c:pt>
                <c:pt idx="231">
                  <c:v>44897.666666666599</c:v>
                </c:pt>
                <c:pt idx="232">
                  <c:v>44900.666666666599</c:v>
                </c:pt>
                <c:pt idx="233">
                  <c:v>44901.666666666599</c:v>
                </c:pt>
                <c:pt idx="234">
                  <c:v>44902.666666666599</c:v>
                </c:pt>
                <c:pt idx="235">
                  <c:v>44903.666666666599</c:v>
                </c:pt>
                <c:pt idx="236">
                  <c:v>44904.666666666599</c:v>
                </c:pt>
                <c:pt idx="237">
                  <c:v>44907.666666666599</c:v>
                </c:pt>
                <c:pt idx="238">
                  <c:v>44908.666666666599</c:v>
                </c:pt>
                <c:pt idx="239">
                  <c:v>44909.666666666599</c:v>
                </c:pt>
                <c:pt idx="240">
                  <c:v>44910.666666666599</c:v>
                </c:pt>
                <c:pt idx="241">
                  <c:v>44911.666666666599</c:v>
                </c:pt>
                <c:pt idx="242">
                  <c:v>44914.666666666599</c:v>
                </c:pt>
                <c:pt idx="243">
                  <c:v>44915.666666666599</c:v>
                </c:pt>
                <c:pt idx="244">
                  <c:v>44916.666666666599</c:v>
                </c:pt>
                <c:pt idx="245">
                  <c:v>44917.666666666599</c:v>
                </c:pt>
                <c:pt idx="246">
                  <c:v>44918.666666666599</c:v>
                </c:pt>
                <c:pt idx="247">
                  <c:v>44922.666666666599</c:v>
                </c:pt>
                <c:pt idx="248">
                  <c:v>44923.666666666599</c:v>
                </c:pt>
                <c:pt idx="249">
                  <c:v>44924.666666666599</c:v>
                </c:pt>
                <c:pt idx="250">
                  <c:v>44925.666666666599</c:v>
                </c:pt>
                <c:pt idx="251">
                  <c:v>44929.666666666599</c:v>
                </c:pt>
                <c:pt idx="252">
                  <c:v>44930.666666666599</c:v>
                </c:pt>
                <c:pt idx="253">
                  <c:v>44931.666666666599</c:v>
                </c:pt>
                <c:pt idx="254">
                  <c:v>44932.666666666599</c:v>
                </c:pt>
                <c:pt idx="255">
                  <c:v>44935.666666666599</c:v>
                </c:pt>
                <c:pt idx="256">
                  <c:v>44936.666666666599</c:v>
                </c:pt>
                <c:pt idx="257">
                  <c:v>44937.666666666599</c:v>
                </c:pt>
                <c:pt idx="258">
                  <c:v>44938.666666666599</c:v>
                </c:pt>
                <c:pt idx="259">
                  <c:v>44939.666666666599</c:v>
                </c:pt>
                <c:pt idx="260">
                  <c:v>44943.666666666599</c:v>
                </c:pt>
                <c:pt idx="261">
                  <c:v>44944.666666666599</c:v>
                </c:pt>
                <c:pt idx="262">
                  <c:v>44945.666666666599</c:v>
                </c:pt>
                <c:pt idx="263">
                  <c:v>44946.666666666599</c:v>
                </c:pt>
                <c:pt idx="264">
                  <c:v>44949.666666666599</c:v>
                </c:pt>
                <c:pt idx="265">
                  <c:v>44950.666666666599</c:v>
                </c:pt>
                <c:pt idx="266">
                  <c:v>44951.666666666599</c:v>
                </c:pt>
                <c:pt idx="267">
                  <c:v>44952.666666666599</c:v>
                </c:pt>
                <c:pt idx="268">
                  <c:v>44953.666666666599</c:v>
                </c:pt>
                <c:pt idx="269">
                  <c:v>44956.666666666599</c:v>
                </c:pt>
                <c:pt idx="270">
                  <c:v>44957.666666666599</c:v>
                </c:pt>
                <c:pt idx="271">
                  <c:v>44958.666666666599</c:v>
                </c:pt>
                <c:pt idx="272">
                  <c:v>44959.666666666599</c:v>
                </c:pt>
                <c:pt idx="273">
                  <c:v>44960.666666666599</c:v>
                </c:pt>
                <c:pt idx="274">
                  <c:v>44963.666666666599</c:v>
                </c:pt>
                <c:pt idx="275">
                  <c:v>44964.666666666599</c:v>
                </c:pt>
                <c:pt idx="276">
                  <c:v>44965.666666666599</c:v>
                </c:pt>
                <c:pt idx="277">
                  <c:v>44966.666666666599</c:v>
                </c:pt>
                <c:pt idx="278">
                  <c:v>44967.666666666599</c:v>
                </c:pt>
                <c:pt idx="279">
                  <c:v>44970.666666666599</c:v>
                </c:pt>
                <c:pt idx="280">
                  <c:v>44971.666666666599</c:v>
                </c:pt>
                <c:pt idx="281">
                  <c:v>44972.666666666599</c:v>
                </c:pt>
                <c:pt idx="282">
                  <c:v>44973.666666666599</c:v>
                </c:pt>
                <c:pt idx="283">
                  <c:v>44974.666666666599</c:v>
                </c:pt>
                <c:pt idx="284">
                  <c:v>44978.666666666599</c:v>
                </c:pt>
                <c:pt idx="285">
                  <c:v>44979.666666666599</c:v>
                </c:pt>
                <c:pt idx="286">
                  <c:v>44980.666666666599</c:v>
                </c:pt>
                <c:pt idx="287">
                  <c:v>44981.666666666599</c:v>
                </c:pt>
                <c:pt idx="288">
                  <c:v>44984.666666666599</c:v>
                </c:pt>
                <c:pt idx="289">
                  <c:v>44985.666666666599</c:v>
                </c:pt>
                <c:pt idx="290">
                  <c:v>44986.666666666599</c:v>
                </c:pt>
                <c:pt idx="291">
                  <c:v>44987.666666666599</c:v>
                </c:pt>
                <c:pt idx="292">
                  <c:v>44988.666666666599</c:v>
                </c:pt>
                <c:pt idx="293">
                  <c:v>44991.666666666599</c:v>
                </c:pt>
                <c:pt idx="294">
                  <c:v>44992.666666666599</c:v>
                </c:pt>
                <c:pt idx="295">
                  <c:v>44993.666666666599</c:v>
                </c:pt>
                <c:pt idx="296">
                  <c:v>44994.666666666599</c:v>
                </c:pt>
                <c:pt idx="297">
                  <c:v>44995.666666666599</c:v>
                </c:pt>
                <c:pt idx="298">
                  <c:v>44998.666666666599</c:v>
                </c:pt>
                <c:pt idx="299">
                  <c:v>44999.666666666599</c:v>
                </c:pt>
                <c:pt idx="300">
                  <c:v>45000.666666666599</c:v>
                </c:pt>
                <c:pt idx="301">
                  <c:v>45001.666666666599</c:v>
                </c:pt>
                <c:pt idx="302">
                  <c:v>45002.666666666599</c:v>
                </c:pt>
                <c:pt idx="303">
                  <c:v>45005.666666666599</c:v>
                </c:pt>
                <c:pt idx="304">
                  <c:v>45006.666666666599</c:v>
                </c:pt>
                <c:pt idx="305">
                  <c:v>45007.666666666599</c:v>
                </c:pt>
                <c:pt idx="306">
                  <c:v>45008.666666666599</c:v>
                </c:pt>
                <c:pt idx="307">
                  <c:v>45009.666666666599</c:v>
                </c:pt>
                <c:pt idx="308">
                  <c:v>45012.666666666599</c:v>
                </c:pt>
                <c:pt idx="309">
                  <c:v>45013.666666666599</c:v>
                </c:pt>
                <c:pt idx="310">
                  <c:v>45014.666666666599</c:v>
                </c:pt>
                <c:pt idx="311">
                  <c:v>45015.666666666599</c:v>
                </c:pt>
                <c:pt idx="312">
                  <c:v>45016.666666666599</c:v>
                </c:pt>
                <c:pt idx="313">
                  <c:v>45019.666666666599</c:v>
                </c:pt>
                <c:pt idx="314">
                  <c:v>45020.666666666599</c:v>
                </c:pt>
                <c:pt idx="315">
                  <c:v>45021.666666666599</c:v>
                </c:pt>
                <c:pt idx="316">
                  <c:v>45022.666666666599</c:v>
                </c:pt>
                <c:pt idx="317">
                  <c:v>45026.666666666599</c:v>
                </c:pt>
                <c:pt idx="318">
                  <c:v>45027.666666666599</c:v>
                </c:pt>
                <c:pt idx="319">
                  <c:v>45028.666666666599</c:v>
                </c:pt>
                <c:pt idx="320">
                  <c:v>45029.666666666599</c:v>
                </c:pt>
                <c:pt idx="321">
                  <c:v>45030.666666666599</c:v>
                </c:pt>
                <c:pt idx="322">
                  <c:v>45033.666666666599</c:v>
                </c:pt>
                <c:pt idx="323">
                  <c:v>45034.666666666599</c:v>
                </c:pt>
                <c:pt idx="324">
                  <c:v>45035.666666666599</c:v>
                </c:pt>
                <c:pt idx="325">
                  <c:v>45036.666666666599</c:v>
                </c:pt>
                <c:pt idx="326">
                  <c:v>45037.666666666599</c:v>
                </c:pt>
                <c:pt idx="327">
                  <c:v>45040.666666666599</c:v>
                </c:pt>
                <c:pt idx="328">
                  <c:v>45041.666666666599</c:v>
                </c:pt>
                <c:pt idx="329">
                  <c:v>45042.666666666599</c:v>
                </c:pt>
                <c:pt idx="330">
                  <c:v>45043.666666666599</c:v>
                </c:pt>
                <c:pt idx="331">
                  <c:v>45044.666666666599</c:v>
                </c:pt>
                <c:pt idx="332">
                  <c:v>45047.666666666599</c:v>
                </c:pt>
                <c:pt idx="333">
                  <c:v>45048.666666666599</c:v>
                </c:pt>
                <c:pt idx="334">
                  <c:v>45049.666666666599</c:v>
                </c:pt>
                <c:pt idx="335">
                  <c:v>45050.666666666599</c:v>
                </c:pt>
                <c:pt idx="336">
                  <c:v>45051.666666666599</c:v>
                </c:pt>
                <c:pt idx="337">
                  <c:v>45054.666666666599</c:v>
                </c:pt>
                <c:pt idx="338">
                  <c:v>45055.666666666599</c:v>
                </c:pt>
                <c:pt idx="339">
                  <c:v>45056.666666666599</c:v>
                </c:pt>
                <c:pt idx="340">
                  <c:v>45057.666666666599</c:v>
                </c:pt>
                <c:pt idx="341">
                  <c:v>45058.666666666599</c:v>
                </c:pt>
                <c:pt idx="342">
                  <c:v>45061.666666666599</c:v>
                </c:pt>
                <c:pt idx="343">
                  <c:v>45062.666666666599</c:v>
                </c:pt>
                <c:pt idx="344">
                  <c:v>45063.666666666599</c:v>
                </c:pt>
                <c:pt idx="345">
                  <c:v>45064.666666666599</c:v>
                </c:pt>
                <c:pt idx="346">
                  <c:v>45065.666666666599</c:v>
                </c:pt>
                <c:pt idx="347">
                  <c:v>45068.666666666599</c:v>
                </c:pt>
                <c:pt idx="348">
                  <c:v>45069.666666666599</c:v>
                </c:pt>
                <c:pt idx="349">
                  <c:v>45070.666666666599</c:v>
                </c:pt>
                <c:pt idx="350">
                  <c:v>45071.666666666599</c:v>
                </c:pt>
                <c:pt idx="351">
                  <c:v>45072.666666666599</c:v>
                </c:pt>
                <c:pt idx="352">
                  <c:v>45076.666666666599</c:v>
                </c:pt>
                <c:pt idx="353">
                  <c:v>45077.666666666599</c:v>
                </c:pt>
                <c:pt idx="354">
                  <c:v>45078.666666666599</c:v>
                </c:pt>
                <c:pt idx="355">
                  <c:v>45079.666666666599</c:v>
                </c:pt>
                <c:pt idx="356">
                  <c:v>45082.666666666599</c:v>
                </c:pt>
                <c:pt idx="357">
                  <c:v>45083.666666666599</c:v>
                </c:pt>
                <c:pt idx="358">
                  <c:v>45084.666666666599</c:v>
                </c:pt>
                <c:pt idx="359">
                  <c:v>45085.666666666599</c:v>
                </c:pt>
                <c:pt idx="360">
                  <c:v>45086.666666666599</c:v>
                </c:pt>
                <c:pt idx="361">
                  <c:v>45089.666666666599</c:v>
                </c:pt>
                <c:pt idx="362">
                  <c:v>45090.666666666599</c:v>
                </c:pt>
                <c:pt idx="363">
                  <c:v>45091.666666666599</c:v>
                </c:pt>
                <c:pt idx="364">
                  <c:v>45092.666666666599</c:v>
                </c:pt>
                <c:pt idx="365">
                  <c:v>45093.666666666599</c:v>
                </c:pt>
                <c:pt idx="366">
                  <c:v>45097.666666666599</c:v>
                </c:pt>
                <c:pt idx="367">
                  <c:v>45098.666666666599</c:v>
                </c:pt>
                <c:pt idx="368">
                  <c:v>45099.666666666599</c:v>
                </c:pt>
                <c:pt idx="369">
                  <c:v>45100.666666666599</c:v>
                </c:pt>
                <c:pt idx="370">
                  <c:v>45103.666666666599</c:v>
                </c:pt>
                <c:pt idx="371">
                  <c:v>45104.666666666599</c:v>
                </c:pt>
                <c:pt idx="372">
                  <c:v>45105.666666666599</c:v>
                </c:pt>
                <c:pt idx="373">
                  <c:v>45106.666666666599</c:v>
                </c:pt>
                <c:pt idx="374">
                  <c:v>45107.666666666599</c:v>
                </c:pt>
                <c:pt idx="375">
                  <c:v>45110.541666666599</c:v>
                </c:pt>
                <c:pt idx="376">
                  <c:v>45112.666666666599</c:v>
                </c:pt>
                <c:pt idx="377">
                  <c:v>45113.666666666599</c:v>
                </c:pt>
                <c:pt idx="378">
                  <c:v>45114.666666666599</c:v>
                </c:pt>
                <c:pt idx="379">
                  <c:v>45117.666666666599</c:v>
                </c:pt>
                <c:pt idx="380">
                  <c:v>45118.666666666599</c:v>
                </c:pt>
                <c:pt idx="381">
                  <c:v>45119.666666666599</c:v>
                </c:pt>
                <c:pt idx="382">
                  <c:v>45120.666666666599</c:v>
                </c:pt>
                <c:pt idx="383">
                  <c:v>45121.666666666599</c:v>
                </c:pt>
                <c:pt idx="384">
                  <c:v>45124.666666666599</c:v>
                </c:pt>
                <c:pt idx="385">
                  <c:v>45125.666666666599</c:v>
                </c:pt>
                <c:pt idx="386">
                  <c:v>45126.666666666599</c:v>
                </c:pt>
                <c:pt idx="387">
                  <c:v>45127.666666666599</c:v>
                </c:pt>
                <c:pt idx="388">
                  <c:v>45128.666666666599</c:v>
                </c:pt>
                <c:pt idx="389">
                  <c:v>45131.666666666599</c:v>
                </c:pt>
                <c:pt idx="390">
                  <c:v>45132.666666666599</c:v>
                </c:pt>
                <c:pt idx="391">
                  <c:v>45133.666666666599</c:v>
                </c:pt>
                <c:pt idx="392">
                  <c:v>45134.666666666599</c:v>
                </c:pt>
                <c:pt idx="393">
                  <c:v>45135.666666666599</c:v>
                </c:pt>
                <c:pt idx="394">
                  <c:v>45138.666666666599</c:v>
                </c:pt>
                <c:pt idx="395">
                  <c:v>45139.666666666599</c:v>
                </c:pt>
                <c:pt idx="396">
                  <c:v>45140.666666666599</c:v>
                </c:pt>
                <c:pt idx="397">
                  <c:v>45141.666666666599</c:v>
                </c:pt>
                <c:pt idx="398">
                  <c:v>45142.666666666599</c:v>
                </c:pt>
                <c:pt idx="399">
                  <c:v>45145.666666666599</c:v>
                </c:pt>
                <c:pt idx="400">
                  <c:v>45146.666666666599</c:v>
                </c:pt>
                <c:pt idx="401">
                  <c:v>45147.666666666599</c:v>
                </c:pt>
                <c:pt idx="402">
                  <c:v>45148.666666666599</c:v>
                </c:pt>
                <c:pt idx="403">
                  <c:v>45149.666666666599</c:v>
                </c:pt>
                <c:pt idx="404">
                  <c:v>45152.666666666599</c:v>
                </c:pt>
                <c:pt idx="405">
                  <c:v>45153.666666666599</c:v>
                </c:pt>
                <c:pt idx="406">
                  <c:v>45154.666666666599</c:v>
                </c:pt>
                <c:pt idx="407">
                  <c:v>45155.666666666599</c:v>
                </c:pt>
                <c:pt idx="408">
                  <c:v>45156.666666666599</c:v>
                </c:pt>
                <c:pt idx="409">
                  <c:v>45159.666666666599</c:v>
                </c:pt>
                <c:pt idx="410">
                  <c:v>45160.666666666599</c:v>
                </c:pt>
                <c:pt idx="411">
                  <c:v>45161.666666666599</c:v>
                </c:pt>
                <c:pt idx="412">
                  <c:v>45162.666666666599</c:v>
                </c:pt>
                <c:pt idx="413">
                  <c:v>45163.666666666599</c:v>
                </c:pt>
                <c:pt idx="414">
                  <c:v>45166.666666666599</c:v>
                </c:pt>
                <c:pt idx="415">
                  <c:v>45167.666666666599</c:v>
                </c:pt>
                <c:pt idx="416">
                  <c:v>45168.666666666599</c:v>
                </c:pt>
                <c:pt idx="417">
                  <c:v>45169.666666666599</c:v>
                </c:pt>
                <c:pt idx="418">
                  <c:v>45170.666666666599</c:v>
                </c:pt>
                <c:pt idx="419">
                  <c:v>45174.666666666599</c:v>
                </c:pt>
                <c:pt idx="420">
                  <c:v>45175.666666666599</c:v>
                </c:pt>
                <c:pt idx="421">
                  <c:v>45176.666666666599</c:v>
                </c:pt>
                <c:pt idx="422">
                  <c:v>45177.666666666599</c:v>
                </c:pt>
                <c:pt idx="423">
                  <c:v>45180.666666666599</c:v>
                </c:pt>
                <c:pt idx="424">
                  <c:v>45181.666666666599</c:v>
                </c:pt>
                <c:pt idx="425">
                  <c:v>45182.666666666599</c:v>
                </c:pt>
                <c:pt idx="426">
                  <c:v>45183.666666666599</c:v>
                </c:pt>
                <c:pt idx="427">
                  <c:v>45184.666666666599</c:v>
                </c:pt>
                <c:pt idx="428">
                  <c:v>45187.666666666599</c:v>
                </c:pt>
                <c:pt idx="429">
                  <c:v>45188.666666666599</c:v>
                </c:pt>
                <c:pt idx="430">
                  <c:v>45189.666666666599</c:v>
                </c:pt>
                <c:pt idx="431">
                  <c:v>45190.666666666599</c:v>
                </c:pt>
                <c:pt idx="432">
                  <c:v>45191.666666666599</c:v>
                </c:pt>
                <c:pt idx="433">
                  <c:v>45194.666666666599</c:v>
                </c:pt>
                <c:pt idx="434">
                  <c:v>45195.666666666599</c:v>
                </c:pt>
                <c:pt idx="435">
                  <c:v>45196.666666666599</c:v>
                </c:pt>
                <c:pt idx="436">
                  <c:v>45197.666666666599</c:v>
                </c:pt>
                <c:pt idx="437">
                  <c:v>45198.666666666599</c:v>
                </c:pt>
                <c:pt idx="438">
                  <c:v>45201.666666666599</c:v>
                </c:pt>
                <c:pt idx="439">
                  <c:v>45202.666666666599</c:v>
                </c:pt>
                <c:pt idx="440">
                  <c:v>45203.666666666599</c:v>
                </c:pt>
                <c:pt idx="441">
                  <c:v>45204.666666666599</c:v>
                </c:pt>
                <c:pt idx="442">
                  <c:v>45205.666666666599</c:v>
                </c:pt>
                <c:pt idx="443">
                  <c:v>45208.666666666599</c:v>
                </c:pt>
                <c:pt idx="444">
                  <c:v>45209.666666666599</c:v>
                </c:pt>
                <c:pt idx="445">
                  <c:v>45210.666666666599</c:v>
                </c:pt>
                <c:pt idx="446">
                  <c:v>45211.666666666599</c:v>
                </c:pt>
                <c:pt idx="447">
                  <c:v>45212.666666666599</c:v>
                </c:pt>
                <c:pt idx="448">
                  <c:v>45215.666666666599</c:v>
                </c:pt>
                <c:pt idx="449">
                  <c:v>45216.666666666599</c:v>
                </c:pt>
                <c:pt idx="450">
                  <c:v>45217.666666666599</c:v>
                </c:pt>
                <c:pt idx="451">
                  <c:v>45218.666666666599</c:v>
                </c:pt>
                <c:pt idx="452">
                  <c:v>45219.666666666599</c:v>
                </c:pt>
                <c:pt idx="453">
                  <c:v>45222.666666666599</c:v>
                </c:pt>
                <c:pt idx="454">
                  <c:v>45223.666666666599</c:v>
                </c:pt>
                <c:pt idx="455">
                  <c:v>45224.666666666599</c:v>
                </c:pt>
                <c:pt idx="456">
                  <c:v>45225.666666666599</c:v>
                </c:pt>
                <c:pt idx="457">
                  <c:v>45226.666666666599</c:v>
                </c:pt>
                <c:pt idx="458">
                  <c:v>45229.666666666599</c:v>
                </c:pt>
                <c:pt idx="459">
                  <c:v>45230.666666666599</c:v>
                </c:pt>
                <c:pt idx="460">
                  <c:v>45231.666666666599</c:v>
                </c:pt>
                <c:pt idx="461">
                  <c:v>45232.666666666599</c:v>
                </c:pt>
                <c:pt idx="462">
                  <c:v>45233.666666666599</c:v>
                </c:pt>
                <c:pt idx="463">
                  <c:v>45236.666666666599</c:v>
                </c:pt>
                <c:pt idx="464">
                  <c:v>45237.666666666599</c:v>
                </c:pt>
                <c:pt idx="465">
                  <c:v>45238.666666666599</c:v>
                </c:pt>
                <c:pt idx="466">
                  <c:v>45239.666666666599</c:v>
                </c:pt>
                <c:pt idx="467">
                  <c:v>45240.666666666599</c:v>
                </c:pt>
                <c:pt idx="468">
                  <c:v>45243.666666666599</c:v>
                </c:pt>
                <c:pt idx="469">
                  <c:v>45244.666666666599</c:v>
                </c:pt>
                <c:pt idx="470">
                  <c:v>45245.666666666599</c:v>
                </c:pt>
                <c:pt idx="471">
                  <c:v>45246.666666666599</c:v>
                </c:pt>
                <c:pt idx="472">
                  <c:v>45247.666666666599</c:v>
                </c:pt>
                <c:pt idx="473">
                  <c:v>45250.666666666599</c:v>
                </c:pt>
                <c:pt idx="474">
                  <c:v>45251.666666666599</c:v>
                </c:pt>
                <c:pt idx="475">
                  <c:v>45252.666666666599</c:v>
                </c:pt>
                <c:pt idx="476">
                  <c:v>45254.541666666599</c:v>
                </c:pt>
                <c:pt idx="477">
                  <c:v>45257.666666666599</c:v>
                </c:pt>
                <c:pt idx="478">
                  <c:v>45258.666666666599</c:v>
                </c:pt>
                <c:pt idx="479">
                  <c:v>45259.666666666599</c:v>
                </c:pt>
                <c:pt idx="480">
                  <c:v>45260.666666666599</c:v>
                </c:pt>
                <c:pt idx="481">
                  <c:v>45261.666666666599</c:v>
                </c:pt>
                <c:pt idx="482">
                  <c:v>45264.666666666599</c:v>
                </c:pt>
                <c:pt idx="483">
                  <c:v>45265.666666666599</c:v>
                </c:pt>
                <c:pt idx="484">
                  <c:v>45266.666666666599</c:v>
                </c:pt>
                <c:pt idx="485">
                  <c:v>45267.666666666599</c:v>
                </c:pt>
                <c:pt idx="486">
                  <c:v>45268.666666666599</c:v>
                </c:pt>
                <c:pt idx="487">
                  <c:v>45271.666666666599</c:v>
                </c:pt>
                <c:pt idx="488">
                  <c:v>45272.666666666599</c:v>
                </c:pt>
                <c:pt idx="489">
                  <c:v>45273.666666666599</c:v>
                </c:pt>
                <c:pt idx="490">
                  <c:v>45274.666666666599</c:v>
                </c:pt>
                <c:pt idx="491">
                  <c:v>45275.666666666599</c:v>
                </c:pt>
                <c:pt idx="492">
                  <c:v>45278.666666666599</c:v>
                </c:pt>
                <c:pt idx="493">
                  <c:v>45279.666666666599</c:v>
                </c:pt>
                <c:pt idx="494">
                  <c:v>45280.666666666599</c:v>
                </c:pt>
                <c:pt idx="495">
                  <c:v>45281.666666666599</c:v>
                </c:pt>
                <c:pt idx="496">
                  <c:v>45282.666666666599</c:v>
                </c:pt>
                <c:pt idx="497">
                  <c:v>45286.666666666599</c:v>
                </c:pt>
                <c:pt idx="498">
                  <c:v>45287.666666666599</c:v>
                </c:pt>
                <c:pt idx="499">
                  <c:v>45288.666666666599</c:v>
                </c:pt>
                <c:pt idx="500">
                  <c:v>45289.666666666599</c:v>
                </c:pt>
                <c:pt idx="501">
                  <c:v>45293.666666666599</c:v>
                </c:pt>
                <c:pt idx="502">
                  <c:v>45294.666666666599</c:v>
                </c:pt>
                <c:pt idx="503">
                  <c:v>45295.666666666599</c:v>
                </c:pt>
                <c:pt idx="504">
                  <c:v>45296.666666666599</c:v>
                </c:pt>
                <c:pt idx="505">
                  <c:v>45299.666666666599</c:v>
                </c:pt>
                <c:pt idx="506">
                  <c:v>45300.666666666599</c:v>
                </c:pt>
                <c:pt idx="507">
                  <c:v>45301.666666666599</c:v>
                </c:pt>
                <c:pt idx="508">
                  <c:v>45302.666666666599</c:v>
                </c:pt>
                <c:pt idx="509">
                  <c:v>45303.666666666599</c:v>
                </c:pt>
                <c:pt idx="510">
                  <c:v>45307.666666666599</c:v>
                </c:pt>
                <c:pt idx="511">
                  <c:v>45308.666666666599</c:v>
                </c:pt>
                <c:pt idx="512">
                  <c:v>45309.666666666599</c:v>
                </c:pt>
                <c:pt idx="513">
                  <c:v>45310.666666666599</c:v>
                </c:pt>
                <c:pt idx="514">
                  <c:v>45313.666666666599</c:v>
                </c:pt>
                <c:pt idx="515">
                  <c:v>45314.666666666599</c:v>
                </c:pt>
                <c:pt idx="516">
                  <c:v>45315.666666666599</c:v>
                </c:pt>
                <c:pt idx="517">
                  <c:v>45316.666666666599</c:v>
                </c:pt>
                <c:pt idx="518">
                  <c:v>45317.666666666599</c:v>
                </c:pt>
                <c:pt idx="519">
                  <c:v>45320.666666666599</c:v>
                </c:pt>
                <c:pt idx="520">
                  <c:v>45321.666666666599</c:v>
                </c:pt>
                <c:pt idx="521">
                  <c:v>45322.666666666599</c:v>
                </c:pt>
                <c:pt idx="522">
                  <c:v>45323.666666666599</c:v>
                </c:pt>
                <c:pt idx="523">
                  <c:v>45324.666666666599</c:v>
                </c:pt>
                <c:pt idx="524">
                  <c:v>45327.666666666599</c:v>
                </c:pt>
                <c:pt idx="525">
                  <c:v>45328.666666666599</c:v>
                </c:pt>
                <c:pt idx="526">
                  <c:v>45329.666666666599</c:v>
                </c:pt>
                <c:pt idx="527">
                  <c:v>45330.666666666599</c:v>
                </c:pt>
                <c:pt idx="528">
                  <c:v>45331.666666666599</c:v>
                </c:pt>
                <c:pt idx="529">
                  <c:v>45334.666666666599</c:v>
                </c:pt>
                <c:pt idx="530">
                  <c:v>45335.666666666599</c:v>
                </c:pt>
                <c:pt idx="531">
                  <c:v>45336.666666666599</c:v>
                </c:pt>
                <c:pt idx="532">
                  <c:v>45337.666666666599</c:v>
                </c:pt>
                <c:pt idx="533">
                  <c:v>45338.666666666599</c:v>
                </c:pt>
                <c:pt idx="534">
                  <c:v>45342.666666666599</c:v>
                </c:pt>
                <c:pt idx="535">
                  <c:v>45343.666666666599</c:v>
                </c:pt>
                <c:pt idx="536">
                  <c:v>45344.666666666599</c:v>
                </c:pt>
                <c:pt idx="537">
                  <c:v>45345.666666666599</c:v>
                </c:pt>
                <c:pt idx="538">
                  <c:v>45348.666666666599</c:v>
                </c:pt>
                <c:pt idx="539">
                  <c:v>45349.666666666599</c:v>
                </c:pt>
                <c:pt idx="540">
                  <c:v>45350.666666666599</c:v>
                </c:pt>
                <c:pt idx="541">
                  <c:v>45351.666666666599</c:v>
                </c:pt>
                <c:pt idx="542">
                  <c:v>45352.666666666599</c:v>
                </c:pt>
                <c:pt idx="543">
                  <c:v>45355.666666666599</c:v>
                </c:pt>
                <c:pt idx="544">
                  <c:v>45356.666666666599</c:v>
                </c:pt>
                <c:pt idx="545">
                  <c:v>45357.666666666599</c:v>
                </c:pt>
                <c:pt idx="546">
                  <c:v>45358.666666666599</c:v>
                </c:pt>
                <c:pt idx="547">
                  <c:v>45359.666666666599</c:v>
                </c:pt>
                <c:pt idx="548">
                  <c:v>45362.666666666599</c:v>
                </c:pt>
                <c:pt idx="549">
                  <c:v>45363.666666666599</c:v>
                </c:pt>
                <c:pt idx="550">
                  <c:v>45364.666666666599</c:v>
                </c:pt>
                <c:pt idx="551">
                  <c:v>45365.666666666599</c:v>
                </c:pt>
                <c:pt idx="552">
                  <c:v>45366.666666666599</c:v>
                </c:pt>
                <c:pt idx="553">
                  <c:v>45369.666666666599</c:v>
                </c:pt>
                <c:pt idx="554">
                  <c:v>45370.666666666599</c:v>
                </c:pt>
                <c:pt idx="555">
                  <c:v>45371.666666666599</c:v>
                </c:pt>
                <c:pt idx="556">
                  <c:v>45372.666666666599</c:v>
                </c:pt>
                <c:pt idx="557">
                  <c:v>45373.666666666599</c:v>
                </c:pt>
                <c:pt idx="558">
                  <c:v>45376.666666666599</c:v>
                </c:pt>
                <c:pt idx="559">
                  <c:v>45377.666666666599</c:v>
                </c:pt>
                <c:pt idx="560">
                  <c:v>45378.666666666599</c:v>
                </c:pt>
                <c:pt idx="561">
                  <c:v>45379.666666666599</c:v>
                </c:pt>
                <c:pt idx="562">
                  <c:v>45383.666666666599</c:v>
                </c:pt>
                <c:pt idx="563">
                  <c:v>45384.666666666599</c:v>
                </c:pt>
                <c:pt idx="564">
                  <c:v>45385.666666666599</c:v>
                </c:pt>
                <c:pt idx="565">
                  <c:v>45386.666666666599</c:v>
                </c:pt>
                <c:pt idx="566">
                  <c:v>45387.666666666599</c:v>
                </c:pt>
                <c:pt idx="567">
                  <c:v>45390.666666666599</c:v>
                </c:pt>
                <c:pt idx="568">
                  <c:v>45391.666666666599</c:v>
                </c:pt>
                <c:pt idx="569">
                  <c:v>45392.666666666599</c:v>
                </c:pt>
                <c:pt idx="570">
                  <c:v>45393.666666666599</c:v>
                </c:pt>
                <c:pt idx="571">
                  <c:v>45394.666666666599</c:v>
                </c:pt>
                <c:pt idx="572">
                  <c:v>45397.666666666599</c:v>
                </c:pt>
                <c:pt idx="573">
                  <c:v>45398.666666666599</c:v>
                </c:pt>
                <c:pt idx="574">
                  <c:v>45399.666666666599</c:v>
                </c:pt>
                <c:pt idx="575">
                  <c:v>45400.666666666599</c:v>
                </c:pt>
                <c:pt idx="576">
                  <c:v>45401.666666666599</c:v>
                </c:pt>
                <c:pt idx="577">
                  <c:v>45404.666666666599</c:v>
                </c:pt>
                <c:pt idx="578">
                  <c:v>45405.666666666599</c:v>
                </c:pt>
                <c:pt idx="579">
                  <c:v>45406.666666666599</c:v>
                </c:pt>
                <c:pt idx="580">
                  <c:v>45407.666666666599</c:v>
                </c:pt>
                <c:pt idx="581">
                  <c:v>45408.666666666599</c:v>
                </c:pt>
                <c:pt idx="582">
                  <c:v>45411.666666666599</c:v>
                </c:pt>
                <c:pt idx="583">
                  <c:v>45412.666666666599</c:v>
                </c:pt>
                <c:pt idx="584">
                  <c:v>45413.666666666599</c:v>
                </c:pt>
                <c:pt idx="585">
                  <c:v>45414.666666666599</c:v>
                </c:pt>
                <c:pt idx="586">
                  <c:v>45415.666666666599</c:v>
                </c:pt>
                <c:pt idx="587">
                  <c:v>45418.666666666599</c:v>
                </c:pt>
                <c:pt idx="588">
                  <c:v>45419.666666666599</c:v>
                </c:pt>
                <c:pt idx="589">
                  <c:v>45420.666666666599</c:v>
                </c:pt>
                <c:pt idx="590">
                  <c:v>45421.666666666599</c:v>
                </c:pt>
                <c:pt idx="591">
                  <c:v>45422.666666666599</c:v>
                </c:pt>
                <c:pt idx="592">
                  <c:v>45425.666666666599</c:v>
                </c:pt>
                <c:pt idx="593">
                  <c:v>45426.666666666599</c:v>
                </c:pt>
                <c:pt idx="594">
                  <c:v>45427.666666666599</c:v>
                </c:pt>
                <c:pt idx="595">
                  <c:v>45428.666666666599</c:v>
                </c:pt>
                <c:pt idx="596">
                  <c:v>45429.666666666599</c:v>
                </c:pt>
                <c:pt idx="597">
                  <c:v>45432.666666666599</c:v>
                </c:pt>
                <c:pt idx="598">
                  <c:v>45433.666666666599</c:v>
                </c:pt>
                <c:pt idx="599">
                  <c:v>45434.666666666599</c:v>
                </c:pt>
                <c:pt idx="600">
                  <c:v>45435.666666666599</c:v>
                </c:pt>
                <c:pt idx="601">
                  <c:v>45436.666666666599</c:v>
                </c:pt>
                <c:pt idx="602">
                  <c:v>45440.666666666599</c:v>
                </c:pt>
                <c:pt idx="603">
                  <c:v>45441.666666666599</c:v>
                </c:pt>
                <c:pt idx="604">
                  <c:v>45442.666666666599</c:v>
                </c:pt>
                <c:pt idx="605">
                  <c:v>45443.666666666599</c:v>
                </c:pt>
                <c:pt idx="606">
                  <c:v>45446.666666666599</c:v>
                </c:pt>
                <c:pt idx="607">
                  <c:v>45447.666666666599</c:v>
                </c:pt>
                <c:pt idx="608">
                  <c:v>45448.666666666599</c:v>
                </c:pt>
                <c:pt idx="609">
                  <c:v>45449.666666666599</c:v>
                </c:pt>
                <c:pt idx="610">
                  <c:v>45450.666666666599</c:v>
                </c:pt>
                <c:pt idx="611">
                  <c:v>45453.666666666599</c:v>
                </c:pt>
                <c:pt idx="612">
                  <c:v>45454.666666666599</c:v>
                </c:pt>
                <c:pt idx="613">
                  <c:v>45455.666666666599</c:v>
                </c:pt>
                <c:pt idx="614">
                  <c:v>45456.666666666599</c:v>
                </c:pt>
                <c:pt idx="615">
                  <c:v>45457.666666666599</c:v>
                </c:pt>
                <c:pt idx="616">
                  <c:v>45460.666666666599</c:v>
                </c:pt>
                <c:pt idx="617">
                  <c:v>45461.666666666599</c:v>
                </c:pt>
                <c:pt idx="618">
                  <c:v>45463.666666666599</c:v>
                </c:pt>
                <c:pt idx="619">
                  <c:v>45464.666666666599</c:v>
                </c:pt>
                <c:pt idx="620">
                  <c:v>45467.666666666599</c:v>
                </c:pt>
                <c:pt idx="621">
                  <c:v>45468.666666666599</c:v>
                </c:pt>
                <c:pt idx="622">
                  <c:v>45469.666666666599</c:v>
                </c:pt>
                <c:pt idx="623">
                  <c:v>45470.666666666599</c:v>
                </c:pt>
                <c:pt idx="624">
                  <c:v>45471.666666666599</c:v>
                </c:pt>
                <c:pt idx="625">
                  <c:v>45474.666666666599</c:v>
                </c:pt>
                <c:pt idx="626">
                  <c:v>45475.666666666599</c:v>
                </c:pt>
                <c:pt idx="627">
                  <c:v>45476.541666666599</c:v>
                </c:pt>
                <c:pt idx="628">
                  <c:v>45478.666666666599</c:v>
                </c:pt>
                <c:pt idx="629">
                  <c:v>45481.666666666599</c:v>
                </c:pt>
                <c:pt idx="630">
                  <c:v>45482.666666666599</c:v>
                </c:pt>
                <c:pt idx="631">
                  <c:v>45483.666666666599</c:v>
                </c:pt>
                <c:pt idx="632">
                  <c:v>45484.666666666599</c:v>
                </c:pt>
                <c:pt idx="633">
                  <c:v>45485.666666666599</c:v>
                </c:pt>
                <c:pt idx="634">
                  <c:v>45488.666666666599</c:v>
                </c:pt>
                <c:pt idx="635">
                  <c:v>45489.666666666599</c:v>
                </c:pt>
                <c:pt idx="636">
                  <c:v>45490.666666666599</c:v>
                </c:pt>
                <c:pt idx="637">
                  <c:v>45491.666666666599</c:v>
                </c:pt>
                <c:pt idx="638">
                  <c:v>45492.666666666599</c:v>
                </c:pt>
                <c:pt idx="639">
                  <c:v>45495.666666666599</c:v>
                </c:pt>
                <c:pt idx="640">
                  <c:v>45496.666666666599</c:v>
                </c:pt>
                <c:pt idx="641">
                  <c:v>45497.666666666599</c:v>
                </c:pt>
                <c:pt idx="642">
                  <c:v>45498.666666666599</c:v>
                </c:pt>
                <c:pt idx="643">
                  <c:v>45499.666666666599</c:v>
                </c:pt>
                <c:pt idx="644">
                  <c:v>45502.666666666599</c:v>
                </c:pt>
                <c:pt idx="645">
                  <c:v>45503.666666666599</c:v>
                </c:pt>
                <c:pt idx="646">
                  <c:v>45504.666666666599</c:v>
                </c:pt>
                <c:pt idx="647">
                  <c:v>45505.666666666599</c:v>
                </c:pt>
                <c:pt idx="648">
                  <c:v>45506.666666666599</c:v>
                </c:pt>
                <c:pt idx="649">
                  <c:v>45509.666666666599</c:v>
                </c:pt>
                <c:pt idx="650">
                  <c:v>45510.666666666599</c:v>
                </c:pt>
                <c:pt idx="651">
                  <c:v>45511.666666666599</c:v>
                </c:pt>
                <c:pt idx="652">
                  <c:v>45512.666666666599</c:v>
                </c:pt>
                <c:pt idx="653">
                  <c:v>45513.666666666599</c:v>
                </c:pt>
                <c:pt idx="654">
                  <c:v>45516.666666666599</c:v>
                </c:pt>
                <c:pt idx="655">
                  <c:v>45517.666666666599</c:v>
                </c:pt>
                <c:pt idx="656">
                  <c:v>45518.666666666599</c:v>
                </c:pt>
                <c:pt idx="657">
                  <c:v>45519.666666666599</c:v>
                </c:pt>
                <c:pt idx="658">
                  <c:v>45520.666666666599</c:v>
                </c:pt>
                <c:pt idx="659">
                  <c:v>45523.666666666599</c:v>
                </c:pt>
                <c:pt idx="660">
                  <c:v>45524.666666666599</c:v>
                </c:pt>
                <c:pt idx="661">
                  <c:v>45525.666666666599</c:v>
                </c:pt>
                <c:pt idx="662">
                  <c:v>45526.666666666599</c:v>
                </c:pt>
                <c:pt idx="663">
                  <c:v>45527.666666666599</c:v>
                </c:pt>
                <c:pt idx="664">
                  <c:v>45530.666666666599</c:v>
                </c:pt>
                <c:pt idx="665">
                  <c:v>45531.666666666599</c:v>
                </c:pt>
                <c:pt idx="666">
                  <c:v>45532.666666666599</c:v>
                </c:pt>
                <c:pt idx="667">
                  <c:v>45533.666666666599</c:v>
                </c:pt>
                <c:pt idx="668">
                  <c:v>45534.666666666599</c:v>
                </c:pt>
                <c:pt idx="669">
                  <c:v>45538.666666666599</c:v>
                </c:pt>
                <c:pt idx="670">
                  <c:v>45539.666666666599</c:v>
                </c:pt>
                <c:pt idx="671">
                  <c:v>45540.666666666599</c:v>
                </c:pt>
                <c:pt idx="672">
                  <c:v>45541.666666666599</c:v>
                </c:pt>
                <c:pt idx="673">
                  <c:v>45544.666666666599</c:v>
                </c:pt>
                <c:pt idx="674">
                  <c:v>45545.666666666599</c:v>
                </c:pt>
                <c:pt idx="675">
                  <c:v>45546.666666666599</c:v>
                </c:pt>
                <c:pt idx="676">
                  <c:v>45547.666666666599</c:v>
                </c:pt>
                <c:pt idx="677">
                  <c:v>45548.666666666599</c:v>
                </c:pt>
                <c:pt idx="678">
                  <c:v>45551.666666666599</c:v>
                </c:pt>
                <c:pt idx="679">
                  <c:v>45552.666666666599</c:v>
                </c:pt>
                <c:pt idx="680">
                  <c:v>45553.666666666599</c:v>
                </c:pt>
                <c:pt idx="681">
                  <c:v>45554.666666666599</c:v>
                </c:pt>
                <c:pt idx="682">
                  <c:v>45555.666666666599</c:v>
                </c:pt>
                <c:pt idx="683">
                  <c:v>45558.666666666599</c:v>
                </c:pt>
                <c:pt idx="684">
                  <c:v>45559.666666666599</c:v>
                </c:pt>
                <c:pt idx="685">
                  <c:v>45560.666666666599</c:v>
                </c:pt>
                <c:pt idx="686">
                  <c:v>45561.666666666599</c:v>
                </c:pt>
                <c:pt idx="687">
                  <c:v>45562.666666666599</c:v>
                </c:pt>
                <c:pt idx="688">
                  <c:v>45565.666666666599</c:v>
                </c:pt>
                <c:pt idx="689">
                  <c:v>45566.666666666599</c:v>
                </c:pt>
                <c:pt idx="690">
                  <c:v>45567.666666666599</c:v>
                </c:pt>
                <c:pt idx="691">
                  <c:v>45568.666666666599</c:v>
                </c:pt>
                <c:pt idx="692">
                  <c:v>45569.666666666599</c:v>
                </c:pt>
                <c:pt idx="693">
                  <c:v>45572.666666666599</c:v>
                </c:pt>
                <c:pt idx="694">
                  <c:v>45573.666666666599</c:v>
                </c:pt>
                <c:pt idx="695">
                  <c:v>45574.666666666599</c:v>
                </c:pt>
                <c:pt idx="696">
                  <c:v>45575.666666666599</c:v>
                </c:pt>
                <c:pt idx="697">
                  <c:v>45576.666666666599</c:v>
                </c:pt>
                <c:pt idx="698">
                  <c:v>45579.666666666599</c:v>
                </c:pt>
                <c:pt idx="699">
                  <c:v>45580.666666666599</c:v>
                </c:pt>
                <c:pt idx="700">
                  <c:v>45581.666666666599</c:v>
                </c:pt>
                <c:pt idx="701">
                  <c:v>45582.666666666599</c:v>
                </c:pt>
                <c:pt idx="702">
                  <c:v>45583.666666666599</c:v>
                </c:pt>
                <c:pt idx="703">
                  <c:v>45586.666666666599</c:v>
                </c:pt>
                <c:pt idx="704">
                  <c:v>45587.666666666599</c:v>
                </c:pt>
                <c:pt idx="705">
                  <c:v>45588.666666666599</c:v>
                </c:pt>
                <c:pt idx="706">
                  <c:v>45589.666666666599</c:v>
                </c:pt>
                <c:pt idx="707">
                  <c:v>45590.666666666599</c:v>
                </c:pt>
                <c:pt idx="708">
                  <c:v>45593.666666666599</c:v>
                </c:pt>
                <c:pt idx="709">
                  <c:v>45594.666666666599</c:v>
                </c:pt>
                <c:pt idx="710">
                  <c:v>45595.666666666599</c:v>
                </c:pt>
                <c:pt idx="711">
                  <c:v>45596.666666666599</c:v>
                </c:pt>
                <c:pt idx="712">
                  <c:v>45597.666666666599</c:v>
                </c:pt>
                <c:pt idx="713">
                  <c:v>45600.666666666599</c:v>
                </c:pt>
                <c:pt idx="714">
                  <c:v>45601.666666666599</c:v>
                </c:pt>
                <c:pt idx="715">
                  <c:v>45602.666666666599</c:v>
                </c:pt>
                <c:pt idx="716">
                  <c:v>45603.666666666599</c:v>
                </c:pt>
                <c:pt idx="717">
                  <c:v>45604.666666666599</c:v>
                </c:pt>
                <c:pt idx="718">
                  <c:v>45607.666666666599</c:v>
                </c:pt>
                <c:pt idx="719">
                  <c:v>45608.666666666599</c:v>
                </c:pt>
                <c:pt idx="720">
                  <c:v>45609.666666666599</c:v>
                </c:pt>
                <c:pt idx="721">
                  <c:v>45610.666666666599</c:v>
                </c:pt>
                <c:pt idx="722">
                  <c:v>45611.666666666599</c:v>
                </c:pt>
                <c:pt idx="723">
                  <c:v>45614.666666666599</c:v>
                </c:pt>
                <c:pt idx="724">
                  <c:v>45615.666666666599</c:v>
                </c:pt>
                <c:pt idx="725">
                  <c:v>45616.666666666599</c:v>
                </c:pt>
                <c:pt idx="726">
                  <c:v>45617.666666666599</c:v>
                </c:pt>
                <c:pt idx="727">
                  <c:v>45618.666666666599</c:v>
                </c:pt>
                <c:pt idx="728">
                  <c:v>45621.666666666599</c:v>
                </c:pt>
                <c:pt idx="729">
                  <c:v>45622.666666666599</c:v>
                </c:pt>
                <c:pt idx="730">
                  <c:v>45623.666666666599</c:v>
                </c:pt>
                <c:pt idx="731">
                  <c:v>45625.541666666599</c:v>
                </c:pt>
                <c:pt idx="732">
                  <c:v>45628.666666666599</c:v>
                </c:pt>
                <c:pt idx="733">
                  <c:v>45629.666666666599</c:v>
                </c:pt>
                <c:pt idx="734">
                  <c:v>45630.666666666599</c:v>
                </c:pt>
                <c:pt idx="735">
                  <c:v>45631.666666666599</c:v>
                </c:pt>
                <c:pt idx="736">
                  <c:v>45632.666666666599</c:v>
                </c:pt>
                <c:pt idx="737">
                  <c:v>45635.666666666599</c:v>
                </c:pt>
                <c:pt idx="738">
                  <c:v>45636.666666666599</c:v>
                </c:pt>
                <c:pt idx="739">
                  <c:v>45637.666666666599</c:v>
                </c:pt>
                <c:pt idx="740">
                  <c:v>45638.666666666599</c:v>
                </c:pt>
                <c:pt idx="741">
                  <c:v>45639.666666666599</c:v>
                </c:pt>
                <c:pt idx="742">
                  <c:v>45642.666666666599</c:v>
                </c:pt>
                <c:pt idx="743">
                  <c:v>45643.666666666599</c:v>
                </c:pt>
                <c:pt idx="744">
                  <c:v>45644.666666666599</c:v>
                </c:pt>
                <c:pt idx="745">
                  <c:v>45645.666666666599</c:v>
                </c:pt>
                <c:pt idx="746">
                  <c:v>45646.666666666599</c:v>
                </c:pt>
                <c:pt idx="747">
                  <c:v>45649.666666666599</c:v>
                </c:pt>
                <c:pt idx="748">
                  <c:v>45650.541666666599</c:v>
                </c:pt>
                <c:pt idx="749">
                  <c:v>45652.666666666599</c:v>
                </c:pt>
                <c:pt idx="750">
                  <c:v>45653.666666666599</c:v>
                </c:pt>
                <c:pt idx="751">
                  <c:v>45656.666666666599</c:v>
                </c:pt>
                <c:pt idx="752">
                  <c:v>45657.666666666599</c:v>
                </c:pt>
              </c:numCache>
            </c:numRef>
          </c:cat>
          <c:val>
            <c:numRef>
              <c:f>Sheet1!$E$6:$E$758</c:f>
              <c:numCache>
                <c:formatCode>General</c:formatCode>
                <c:ptCount val="753"/>
                <c:pt idx="0">
                  <c:v>395.33</c:v>
                </c:pt>
                <c:pt idx="1">
                  <c:v>407.48</c:v>
                </c:pt>
                <c:pt idx="2">
                  <c:v>398.63</c:v>
                </c:pt>
                <c:pt idx="3">
                  <c:v>396.93</c:v>
                </c:pt>
                <c:pt idx="4">
                  <c:v>397.51</c:v>
                </c:pt>
                <c:pt idx="5">
                  <c:v>399.17</c:v>
                </c:pt>
                <c:pt idx="6">
                  <c:v>403.05</c:v>
                </c:pt>
                <c:pt idx="7">
                  <c:v>390.31</c:v>
                </c:pt>
                <c:pt idx="8">
                  <c:v>390.8</c:v>
                </c:pt>
                <c:pt idx="9">
                  <c:v>380.94</c:v>
                </c:pt>
                <c:pt idx="10">
                  <c:v>354.4</c:v>
                </c:pt>
                <c:pt idx="11">
                  <c:v>347.32</c:v>
                </c:pt>
                <c:pt idx="12">
                  <c:v>348.1</c:v>
                </c:pt>
                <c:pt idx="13">
                  <c:v>343.91</c:v>
                </c:pt>
                <c:pt idx="14">
                  <c:v>343.39</c:v>
                </c:pt>
                <c:pt idx="15">
                  <c:v>341.55</c:v>
                </c:pt>
                <c:pt idx="16">
                  <c:v>342.68</c:v>
                </c:pt>
                <c:pt idx="17">
                  <c:v>341.03</c:v>
                </c:pt>
                <c:pt idx="18">
                  <c:v>347.01</c:v>
                </c:pt>
                <c:pt idx="19">
                  <c:v>354.68</c:v>
                </c:pt>
                <c:pt idx="20">
                  <c:v>364.06</c:v>
                </c:pt>
                <c:pt idx="21">
                  <c:v>363.06</c:v>
                </c:pt>
                <c:pt idx="22">
                  <c:v>358.88</c:v>
                </c:pt>
                <c:pt idx="23">
                  <c:v>367.6</c:v>
                </c:pt>
                <c:pt idx="24">
                  <c:v>368.15</c:v>
                </c:pt>
                <c:pt idx="25">
                  <c:v>370.1</c:v>
                </c:pt>
                <c:pt idx="26">
                  <c:v>374.53</c:v>
                </c:pt>
                <c:pt idx="27">
                  <c:v>370.57</c:v>
                </c:pt>
                <c:pt idx="28">
                  <c:v>363.06</c:v>
                </c:pt>
                <c:pt idx="29">
                  <c:v>360.24</c:v>
                </c:pt>
                <c:pt idx="30">
                  <c:v>363.94</c:v>
                </c:pt>
                <c:pt idx="31">
                  <c:v>360.05</c:v>
                </c:pt>
                <c:pt idx="32">
                  <c:v>349.06</c:v>
                </c:pt>
                <c:pt idx="33">
                  <c:v>346.04</c:v>
                </c:pt>
                <c:pt idx="34">
                  <c:v>344.27</c:v>
                </c:pt>
                <c:pt idx="35">
                  <c:v>341.19</c:v>
                </c:pt>
                <c:pt idx="36">
                  <c:v>340.19</c:v>
                </c:pt>
                <c:pt idx="37">
                  <c:v>350.12</c:v>
                </c:pt>
                <c:pt idx="38">
                  <c:v>341.29</c:v>
                </c:pt>
                <c:pt idx="39">
                  <c:v>328.2</c:v>
                </c:pt>
                <c:pt idx="40">
                  <c:v>336.38</c:v>
                </c:pt>
                <c:pt idx="41">
                  <c:v>333.42</c:v>
                </c:pt>
                <c:pt idx="42">
                  <c:v>329.67</c:v>
                </c:pt>
                <c:pt idx="43">
                  <c:v>321.89</c:v>
                </c:pt>
                <c:pt idx="44">
                  <c:v>321.37</c:v>
                </c:pt>
                <c:pt idx="45">
                  <c:v>333.59</c:v>
                </c:pt>
                <c:pt idx="46">
                  <c:v>329.9</c:v>
                </c:pt>
                <c:pt idx="47">
                  <c:v>327</c:v>
                </c:pt>
                <c:pt idx="48">
                  <c:v>324.98</c:v>
                </c:pt>
                <c:pt idx="49">
                  <c:v>329.16</c:v>
                </c:pt>
                <c:pt idx="50">
                  <c:v>340.76</c:v>
                </c:pt>
                <c:pt idx="51">
                  <c:v>343.27</c:v>
                </c:pt>
                <c:pt idx="52">
                  <c:v>345.38</c:v>
                </c:pt>
                <c:pt idx="53">
                  <c:v>339</c:v>
                </c:pt>
                <c:pt idx="54">
                  <c:v>343.01</c:v>
                </c:pt>
                <c:pt idx="55">
                  <c:v>335.61</c:v>
                </c:pt>
                <c:pt idx="56">
                  <c:v>336.23</c:v>
                </c:pt>
                <c:pt idx="57">
                  <c:v>337.49</c:v>
                </c:pt>
                <c:pt idx="58">
                  <c:v>335.3</c:v>
                </c:pt>
                <c:pt idx="59">
                  <c:v>339.66</c:v>
                </c:pt>
                <c:pt idx="60">
                  <c:v>335.59</c:v>
                </c:pt>
                <c:pt idx="61">
                  <c:v>330.1</c:v>
                </c:pt>
                <c:pt idx="62">
                  <c:v>330.22</c:v>
                </c:pt>
                <c:pt idx="63">
                  <c:v>328.21</c:v>
                </c:pt>
                <c:pt idx="64">
                  <c:v>323.95999999999998</c:v>
                </c:pt>
                <c:pt idx="65">
                  <c:v>316.26</c:v>
                </c:pt>
                <c:pt idx="66">
                  <c:v>314.14999999999998</c:v>
                </c:pt>
                <c:pt idx="67">
                  <c:v>321.39</c:v>
                </c:pt>
                <c:pt idx="68">
                  <c:v>320.76</c:v>
                </c:pt>
                <c:pt idx="69">
                  <c:v>319.77999999999997</c:v>
                </c:pt>
                <c:pt idx="70">
                  <c:v>321.97000000000003</c:v>
                </c:pt>
                <c:pt idx="71">
                  <c:v>321.64</c:v>
                </c:pt>
                <c:pt idx="72">
                  <c:v>329.88</c:v>
                </c:pt>
                <c:pt idx="73">
                  <c:v>335.95</c:v>
                </c:pt>
                <c:pt idx="74">
                  <c:v>341.06</c:v>
                </c:pt>
                <c:pt idx="75">
                  <c:v>334.3</c:v>
                </c:pt>
                <c:pt idx="76">
                  <c:v>319.77</c:v>
                </c:pt>
                <c:pt idx="77">
                  <c:v>321.42</c:v>
                </c:pt>
                <c:pt idx="78">
                  <c:v>313.12</c:v>
                </c:pt>
                <c:pt idx="79">
                  <c:v>313.23</c:v>
                </c:pt>
                <c:pt idx="80">
                  <c:v>318.41000000000003</c:v>
                </c:pt>
                <c:pt idx="81">
                  <c:v>305.49</c:v>
                </c:pt>
                <c:pt idx="82">
                  <c:v>310.42</c:v>
                </c:pt>
                <c:pt idx="83">
                  <c:v>314.66000000000003</c:v>
                </c:pt>
                <c:pt idx="84">
                  <c:v>324.11</c:v>
                </c:pt>
                <c:pt idx="85">
                  <c:v>313.07</c:v>
                </c:pt>
                <c:pt idx="86">
                  <c:v>312.95999999999998</c:v>
                </c:pt>
                <c:pt idx="87">
                  <c:v>308.89</c:v>
                </c:pt>
                <c:pt idx="88">
                  <c:v>305.06</c:v>
                </c:pt>
                <c:pt idx="89">
                  <c:v>301.55</c:v>
                </c:pt>
                <c:pt idx="90">
                  <c:v>299.41000000000003</c:v>
                </c:pt>
                <c:pt idx="91">
                  <c:v>306.99</c:v>
                </c:pt>
                <c:pt idx="92">
                  <c:v>303.44</c:v>
                </c:pt>
                <c:pt idx="93">
                  <c:v>312.97000000000003</c:v>
                </c:pt>
                <c:pt idx="94">
                  <c:v>306.73</c:v>
                </c:pt>
                <c:pt idx="95">
                  <c:v>308.2</c:v>
                </c:pt>
                <c:pt idx="96">
                  <c:v>306.8</c:v>
                </c:pt>
                <c:pt idx="97">
                  <c:v>316.61</c:v>
                </c:pt>
                <c:pt idx="98">
                  <c:v>313.95</c:v>
                </c:pt>
                <c:pt idx="99">
                  <c:v>314.89999999999998</c:v>
                </c:pt>
                <c:pt idx="100">
                  <c:v>323.63</c:v>
                </c:pt>
                <c:pt idx="101">
                  <c:v>328.58</c:v>
                </c:pt>
                <c:pt idx="102">
                  <c:v>326.85000000000002</c:v>
                </c:pt>
                <c:pt idx="103">
                  <c:v>321.85000000000002</c:v>
                </c:pt>
                <c:pt idx="104">
                  <c:v>324.25</c:v>
                </c:pt>
                <c:pt idx="105">
                  <c:v>318.68</c:v>
                </c:pt>
                <c:pt idx="106">
                  <c:v>320.51</c:v>
                </c:pt>
                <c:pt idx="107">
                  <c:v>321.51</c:v>
                </c:pt>
                <c:pt idx="108">
                  <c:v>314.68</c:v>
                </c:pt>
                <c:pt idx="109">
                  <c:v>304.22000000000003</c:v>
                </c:pt>
                <c:pt idx="110">
                  <c:v>287.02</c:v>
                </c:pt>
                <c:pt idx="111">
                  <c:v>283.32</c:v>
                </c:pt>
                <c:pt idx="112">
                  <c:v>282.54000000000002</c:v>
                </c:pt>
                <c:pt idx="113">
                  <c:v>290.07</c:v>
                </c:pt>
                <c:pt idx="114">
                  <c:v>284.98</c:v>
                </c:pt>
                <c:pt idx="115">
                  <c:v>279.79000000000002</c:v>
                </c:pt>
                <c:pt idx="116">
                  <c:v>284.81</c:v>
                </c:pt>
                <c:pt idx="117">
                  <c:v>284.54000000000002</c:v>
                </c:pt>
                <c:pt idx="118">
                  <c:v>286.17</c:v>
                </c:pt>
                <c:pt idx="119">
                  <c:v>302.75</c:v>
                </c:pt>
                <c:pt idx="120">
                  <c:v>300.77999999999997</c:v>
                </c:pt>
                <c:pt idx="121">
                  <c:v>299.49</c:v>
                </c:pt>
                <c:pt idx="122">
                  <c:v>303.27999999999997</c:v>
                </c:pt>
                <c:pt idx="123">
                  <c:v>297.02</c:v>
                </c:pt>
                <c:pt idx="124">
                  <c:v>299.23</c:v>
                </c:pt>
                <c:pt idx="125">
                  <c:v>297.2</c:v>
                </c:pt>
                <c:pt idx="126">
                  <c:v>293.76</c:v>
                </c:pt>
                <c:pt idx="127">
                  <c:v>298.60000000000002</c:v>
                </c:pt>
                <c:pt idx="128">
                  <c:v>296.47000000000003</c:v>
                </c:pt>
                <c:pt idx="129">
                  <c:v>293.18</c:v>
                </c:pt>
                <c:pt idx="130">
                  <c:v>292.52999999999997</c:v>
                </c:pt>
                <c:pt idx="131">
                  <c:v>290.14999999999998</c:v>
                </c:pt>
                <c:pt idx="132">
                  <c:v>281.58999999999997</c:v>
                </c:pt>
                <c:pt idx="133">
                  <c:v>293.87</c:v>
                </c:pt>
                <c:pt idx="134">
                  <c:v>301.26</c:v>
                </c:pt>
                <c:pt idx="135">
                  <c:v>318.05</c:v>
                </c:pt>
                <c:pt idx="136">
                  <c:v>321.45</c:v>
                </c:pt>
                <c:pt idx="137">
                  <c:v>326.54000000000002</c:v>
                </c:pt>
                <c:pt idx="138">
                  <c:v>323.93</c:v>
                </c:pt>
                <c:pt idx="139">
                  <c:v>324.12</c:v>
                </c:pt>
                <c:pt idx="140">
                  <c:v>318.55</c:v>
                </c:pt>
                <c:pt idx="141">
                  <c:v>324.54000000000002</c:v>
                </c:pt>
                <c:pt idx="142">
                  <c:v>329.11</c:v>
                </c:pt>
                <c:pt idx="143">
                  <c:v>333.39</c:v>
                </c:pt>
                <c:pt idx="144">
                  <c:v>332.08</c:v>
                </c:pt>
                <c:pt idx="145">
                  <c:v>327.88</c:v>
                </c:pt>
                <c:pt idx="146">
                  <c:v>333.17</c:v>
                </c:pt>
                <c:pt idx="147">
                  <c:v>331.87</c:v>
                </c:pt>
                <c:pt idx="148">
                  <c:v>334.67</c:v>
                </c:pt>
                <c:pt idx="149">
                  <c:v>334.68</c:v>
                </c:pt>
                <c:pt idx="150">
                  <c:v>336.62</c:v>
                </c:pt>
                <c:pt idx="151">
                  <c:v>347.91</c:v>
                </c:pt>
                <c:pt idx="152">
                  <c:v>351.68</c:v>
                </c:pt>
                <c:pt idx="153">
                  <c:v>353.82</c:v>
                </c:pt>
                <c:pt idx="154">
                  <c:v>355.85</c:v>
                </c:pt>
                <c:pt idx="155">
                  <c:v>354.97</c:v>
                </c:pt>
                <c:pt idx="156">
                  <c:v>353.74</c:v>
                </c:pt>
                <c:pt idx="157">
                  <c:v>354.52</c:v>
                </c:pt>
                <c:pt idx="158">
                  <c:v>349.27</c:v>
                </c:pt>
                <c:pt idx="159">
                  <c:v>342.42</c:v>
                </c:pt>
                <c:pt idx="160">
                  <c:v>340.18</c:v>
                </c:pt>
                <c:pt idx="161">
                  <c:v>341.94</c:v>
                </c:pt>
                <c:pt idx="162">
                  <c:v>346.49</c:v>
                </c:pt>
                <c:pt idx="163">
                  <c:v>336.4</c:v>
                </c:pt>
                <c:pt idx="164">
                  <c:v>333.92</c:v>
                </c:pt>
                <c:pt idx="165">
                  <c:v>333.63</c:v>
                </c:pt>
                <c:pt idx="166">
                  <c:v>332.67</c:v>
                </c:pt>
                <c:pt idx="167">
                  <c:v>333.5</c:v>
                </c:pt>
                <c:pt idx="168">
                  <c:v>331.48</c:v>
                </c:pt>
                <c:pt idx="169">
                  <c:v>326.49</c:v>
                </c:pt>
                <c:pt idx="170">
                  <c:v>330.56</c:v>
                </c:pt>
                <c:pt idx="171">
                  <c:v>335.38</c:v>
                </c:pt>
                <c:pt idx="172">
                  <c:v>340.1</c:v>
                </c:pt>
                <c:pt idx="173">
                  <c:v>342.58</c:v>
                </c:pt>
                <c:pt idx="174">
                  <c:v>328.39</c:v>
                </c:pt>
                <c:pt idx="175">
                  <c:v>327.26</c:v>
                </c:pt>
                <c:pt idx="176">
                  <c:v>331.62</c:v>
                </c:pt>
                <c:pt idx="177">
                  <c:v>326.20999999999998</c:v>
                </c:pt>
                <c:pt idx="178">
                  <c:v>328.66</c:v>
                </c:pt>
                <c:pt idx="179">
                  <c:v>323.26</c:v>
                </c:pt>
                <c:pt idx="180">
                  <c:v>320.70999999999998</c:v>
                </c:pt>
                <c:pt idx="181">
                  <c:v>312.92</c:v>
                </c:pt>
                <c:pt idx="182">
                  <c:v>301.97000000000003</c:v>
                </c:pt>
                <c:pt idx="183">
                  <c:v>294.62</c:v>
                </c:pt>
                <c:pt idx="184">
                  <c:v>291.38</c:v>
                </c:pt>
                <c:pt idx="185">
                  <c:v>300.79000000000002</c:v>
                </c:pt>
                <c:pt idx="186">
                  <c:v>296.11</c:v>
                </c:pt>
                <c:pt idx="187">
                  <c:v>293.05</c:v>
                </c:pt>
                <c:pt idx="188">
                  <c:v>299.14999999999998</c:v>
                </c:pt>
                <c:pt idx="189">
                  <c:v>314.87</c:v>
                </c:pt>
                <c:pt idx="190">
                  <c:v>309</c:v>
                </c:pt>
                <c:pt idx="191">
                  <c:v>304.67</c:v>
                </c:pt>
                <c:pt idx="192">
                  <c:v>301.08</c:v>
                </c:pt>
                <c:pt idx="193">
                  <c:v>300.54000000000002</c:v>
                </c:pt>
                <c:pt idx="194">
                  <c:v>294.20999999999998</c:v>
                </c:pt>
                <c:pt idx="195">
                  <c:v>295.31</c:v>
                </c:pt>
                <c:pt idx="196">
                  <c:v>307.07</c:v>
                </c:pt>
                <c:pt idx="197">
                  <c:v>299.99</c:v>
                </c:pt>
                <c:pt idx="198">
                  <c:v>306.70999999999998</c:v>
                </c:pt>
                <c:pt idx="199">
                  <c:v>313.85000000000002</c:v>
                </c:pt>
                <c:pt idx="200">
                  <c:v>311.76</c:v>
                </c:pt>
                <c:pt idx="201">
                  <c:v>310.81</c:v>
                </c:pt>
                <c:pt idx="202">
                  <c:v>325.10000000000002</c:v>
                </c:pt>
                <c:pt idx="203">
                  <c:v>328.7</c:v>
                </c:pt>
                <c:pt idx="204">
                  <c:v>332.4</c:v>
                </c:pt>
                <c:pt idx="205">
                  <c:v>335.69</c:v>
                </c:pt>
                <c:pt idx="206">
                  <c:v>337.18</c:v>
                </c:pt>
                <c:pt idx="207">
                  <c:v>341.82</c:v>
                </c:pt>
                <c:pt idx="208">
                  <c:v>344.51</c:v>
                </c:pt>
                <c:pt idx="209">
                  <c:v>348.58</c:v>
                </c:pt>
                <c:pt idx="210">
                  <c:v>349.79</c:v>
                </c:pt>
                <c:pt idx="211">
                  <c:v>348.87</c:v>
                </c:pt>
                <c:pt idx="212">
                  <c:v>357.91</c:v>
                </c:pt>
                <c:pt idx="213">
                  <c:v>362.56</c:v>
                </c:pt>
                <c:pt idx="214">
                  <c:v>364.02</c:v>
                </c:pt>
                <c:pt idx="215">
                  <c:v>362</c:v>
                </c:pt>
                <c:pt idx="216">
                  <c:v>378.31</c:v>
                </c:pt>
                <c:pt idx="217">
                  <c:v>385.17</c:v>
                </c:pt>
                <c:pt idx="218">
                  <c:v>382.36</c:v>
                </c:pt>
                <c:pt idx="219">
                  <c:v>382.88</c:v>
                </c:pt>
                <c:pt idx="220">
                  <c:v>382.33</c:v>
                </c:pt>
                <c:pt idx="221">
                  <c:v>379.78</c:v>
                </c:pt>
                <c:pt idx="222">
                  <c:v>379.2</c:v>
                </c:pt>
                <c:pt idx="223">
                  <c:v>380.21</c:v>
                </c:pt>
                <c:pt idx="224">
                  <c:v>383.87</c:v>
                </c:pt>
                <c:pt idx="225">
                  <c:v>386.25</c:v>
                </c:pt>
                <c:pt idx="226">
                  <c:v>388.86</c:v>
                </c:pt>
                <c:pt idx="227">
                  <c:v>382.36</c:v>
                </c:pt>
                <c:pt idx="228">
                  <c:v>383.71</c:v>
                </c:pt>
                <c:pt idx="229">
                  <c:v>386.15</c:v>
                </c:pt>
                <c:pt idx="230">
                  <c:v>383.81</c:v>
                </c:pt>
                <c:pt idx="231">
                  <c:v>380.58</c:v>
                </c:pt>
                <c:pt idx="232">
                  <c:v>371.54</c:v>
                </c:pt>
                <c:pt idx="233">
                  <c:v>362.91</c:v>
                </c:pt>
                <c:pt idx="234">
                  <c:v>359.92</c:v>
                </c:pt>
                <c:pt idx="235">
                  <c:v>358.08</c:v>
                </c:pt>
                <c:pt idx="236">
                  <c:v>359.14</c:v>
                </c:pt>
                <c:pt idx="237">
                  <c:v>363.18</c:v>
                </c:pt>
                <c:pt idx="238">
                  <c:v>368.69</c:v>
                </c:pt>
                <c:pt idx="239">
                  <c:v>360.38</c:v>
                </c:pt>
                <c:pt idx="240">
                  <c:v>349.83</c:v>
                </c:pt>
                <c:pt idx="241">
                  <c:v>346.35</c:v>
                </c:pt>
                <c:pt idx="242">
                  <c:v>344.61</c:v>
                </c:pt>
                <c:pt idx="243">
                  <c:v>344.49</c:v>
                </c:pt>
                <c:pt idx="244">
                  <c:v>350.16</c:v>
                </c:pt>
                <c:pt idx="245">
                  <c:v>345.58</c:v>
                </c:pt>
                <c:pt idx="246">
                  <c:v>345.51</c:v>
                </c:pt>
                <c:pt idx="247">
                  <c:v>341.97</c:v>
                </c:pt>
                <c:pt idx="248">
                  <c:v>340.87</c:v>
                </c:pt>
                <c:pt idx="249">
                  <c:v>343.43</c:v>
                </c:pt>
                <c:pt idx="250">
                  <c:v>343.38</c:v>
                </c:pt>
                <c:pt idx="251">
                  <c:v>346.22</c:v>
                </c:pt>
                <c:pt idx="252">
                  <c:v>347.7</c:v>
                </c:pt>
                <c:pt idx="253">
                  <c:v>343.76</c:v>
                </c:pt>
                <c:pt idx="254">
                  <c:v>348.08</c:v>
                </c:pt>
                <c:pt idx="255">
                  <c:v>353</c:v>
                </c:pt>
                <c:pt idx="256">
                  <c:v>357.36</c:v>
                </c:pt>
                <c:pt idx="257">
                  <c:v>364.48</c:v>
                </c:pt>
                <c:pt idx="258">
                  <c:v>369.94</c:v>
                </c:pt>
                <c:pt idx="259">
                  <c:v>374</c:v>
                </c:pt>
                <c:pt idx="260">
                  <c:v>349.92</c:v>
                </c:pt>
                <c:pt idx="261">
                  <c:v>349.09</c:v>
                </c:pt>
                <c:pt idx="262">
                  <c:v>350.75</c:v>
                </c:pt>
                <c:pt idx="263">
                  <c:v>341.84</c:v>
                </c:pt>
                <c:pt idx="264">
                  <c:v>349.14</c:v>
                </c:pt>
                <c:pt idx="265">
                  <c:v>348.33</c:v>
                </c:pt>
                <c:pt idx="266">
                  <c:v>349.63</c:v>
                </c:pt>
                <c:pt idx="267">
                  <c:v>354.97</c:v>
                </c:pt>
                <c:pt idx="268">
                  <c:v>353.7</c:v>
                </c:pt>
                <c:pt idx="269">
                  <c:v>357.46</c:v>
                </c:pt>
                <c:pt idx="270">
                  <c:v>365.81</c:v>
                </c:pt>
                <c:pt idx="271">
                  <c:v>365.71</c:v>
                </c:pt>
                <c:pt idx="272">
                  <c:v>369.47</c:v>
                </c:pt>
                <c:pt idx="273">
                  <c:v>369.95</c:v>
                </c:pt>
                <c:pt idx="274">
                  <c:v>370.8</c:v>
                </c:pt>
                <c:pt idx="275">
                  <c:v>374.4</c:v>
                </c:pt>
                <c:pt idx="276">
                  <c:v>375.1</c:v>
                </c:pt>
                <c:pt idx="277">
                  <c:v>367.99</c:v>
                </c:pt>
                <c:pt idx="278">
                  <c:v>371.28</c:v>
                </c:pt>
                <c:pt idx="279">
                  <c:v>374.02</c:v>
                </c:pt>
                <c:pt idx="280">
                  <c:v>371.78</c:v>
                </c:pt>
                <c:pt idx="281">
                  <c:v>374.34</c:v>
                </c:pt>
                <c:pt idx="282">
                  <c:v>370.2</c:v>
                </c:pt>
                <c:pt idx="283">
                  <c:v>368.5</c:v>
                </c:pt>
                <c:pt idx="284">
                  <c:v>361.12</c:v>
                </c:pt>
                <c:pt idx="285">
                  <c:v>360.89</c:v>
                </c:pt>
                <c:pt idx="286">
                  <c:v>363.54</c:v>
                </c:pt>
                <c:pt idx="287">
                  <c:v>363.85</c:v>
                </c:pt>
                <c:pt idx="288">
                  <c:v>365.53</c:v>
                </c:pt>
                <c:pt idx="289">
                  <c:v>351.65</c:v>
                </c:pt>
                <c:pt idx="290">
                  <c:v>346.23</c:v>
                </c:pt>
                <c:pt idx="291">
                  <c:v>349.1</c:v>
                </c:pt>
                <c:pt idx="292">
                  <c:v>357.09</c:v>
                </c:pt>
                <c:pt idx="293">
                  <c:v>357.05</c:v>
                </c:pt>
                <c:pt idx="294">
                  <c:v>346.08</c:v>
                </c:pt>
                <c:pt idx="295">
                  <c:v>349.29</c:v>
                </c:pt>
                <c:pt idx="296">
                  <c:v>342.09</c:v>
                </c:pt>
                <c:pt idx="297">
                  <c:v>327.67</c:v>
                </c:pt>
                <c:pt idx="298">
                  <c:v>315.51</c:v>
                </c:pt>
                <c:pt idx="299">
                  <c:v>322.14999999999998</c:v>
                </c:pt>
                <c:pt idx="300">
                  <c:v>312.19</c:v>
                </c:pt>
                <c:pt idx="301">
                  <c:v>315.08999999999997</c:v>
                </c:pt>
                <c:pt idx="302">
                  <c:v>303.54000000000002</c:v>
                </c:pt>
                <c:pt idx="303">
                  <c:v>309.52999999999997</c:v>
                </c:pt>
                <c:pt idx="304">
                  <c:v>317.27999999999997</c:v>
                </c:pt>
                <c:pt idx="305">
                  <c:v>313.67</c:v>
                </c:pt>
                <c:pt idx="306">
                  <c:v>314.85000000000002</c:v>
                </c:pt>
                <c:pt idx="307">
                  <c:v>312.57</c:v>
                </c:pt>
                <c:pt idx="308">
                  <c:v>318.52999999999997</c:v>
                </c:pt>
                <c:pt idx="309">
                  <c:v>318.44</c:v>
                </c:pt>
                <c:pt idx="310">
                  <c:v>320.72000000000003</c:v>
                </c:pt>
                <c:pt idx="311">
                  <c:v>321.14</c:v>
                </c:pt>
                <c:pt idx="312">
                  <c:v>327.11</c:v>
                </c:pt>
                <c:pt idx="313">
                  <c:v>326.52</c:v>
                </c:pt>
                <c:pt idx="314">
                  <c:v>322.64999999999998</c:v>
                </c:pt>
                <c:pt idx="315">
                  <c:v>321.52999999999997</c:v>
                </c:pt>
                <c:pt idx="316">
                  <c:v>322.39999999999998</c:v>
                </c:pt>
                <c:pt idx="317">
                  <c:v>324.95999999999998</c:v>
                </c:pt>
                <c:pt idx="318">
                  <c:v>327.37</c:v>
                </c:pt>
                <c:pt idx="319">
                  <c:v>330.24</c:v>
                </c:pt>
                <c:pt idx="320">
                  <c:v>332.13</c:v>
                </c:pt>
                <c:pt idx="321">
                  <c:v>336.92</c:v>
                </c:pt>
                <c:pt idx="322">
                  <c:v>339.68</c:v>
                </c:pt>
                <c:pt idx="323">
                  <c:v>333.91</c:v>
                </c:pt>
                <c:pt idx="324">
                  <c:v>336.89</c:v>
                </c:pt>
                <c:pt idx="325">
                  <c:v>338.71</c:v>
                </c:pt>
                <c:pt idx="326">
                  <c:v>341.66</c:v>
                </c:pt>
                <c:pt idx="327">
                  <c:v>343.96</c:v>
                </c:pt>
                <c:pt idx="328">
                  <c:v>339.48</c:v>
                </c:pt>
                <c:pt idx="329">
                  <c:v>336.56</c:v>
                </c:pt>
                <c:pt idx="330">
                  <c:v>341.6</c:v>
                </c:pt>
                <c:pt idx="331">
                  <c:v>343.44</c:v>
                </c:pt>
                <c:pt idx="332">
                  <c:v>340.57</c:v>
                </c:pt>
                <c:pt idx="333">
                  <c:v>333.37</c:v>
                </c:pt>
                <c:pt idx="334">
                  <c:v>328.65</c:v>
                </c:pt>
                <c:pt idx="335">
                  <c:v>321.26</c:v>
                </c:pt>
                <c:pt idx="336">
                  <c:v>327.02</c:v>
                </c:pt>
                <c:pt idx="337">
                  <c:v>326.51</c:v>
                </c:pt>
                <c:pt idx="338">
                  <c:v>324.77</c:v>
                </c:pt>
                <c:pt idx="339">
                  <c:v>322.55</c:v>
                </c:pt>
                <c:pt idx="340">
                  <c:v>320.72000000000003</c:v>
                </c:pt>
                <c:pt idx="341">
                  <c:v>319.5</c:v>
                </c:pt>
                <c:pt idx="342">
                  <c:v>322.07</c:v>
                </c:pt>
                <c:pt idx="343">
                  <c:v>320.81</c:v>
                </c:pt>
                <c:pt idx="344">
                  <c:v>330.18</c:v>
                </c:pt>
                <c:pt idx="345">
                  <c:v>329.58</c:v>
                </c:pt>
                <c:pt idx="346">
                  <c:v>326.14999999999998</c:v>
                </c:pt>
                <c:pt idx="347">
                  <c:v>324.92</c:v>
                </c:pt>
                <c:pt idx="348">
                  <c:v>323.57</c:v>
                </c:pt>
                <c:pt idx="349">
                  <c:v>319.81</c:v>
                </c:pt>
                <c:pt idx="350">
                  <c:v>323.88</c:v>
                </c:pt>
                <c:pt idx="351">
                  <c:v>332.01</c:v>
                </c:pt>
                <c:pt idx="352">
                  <c:v>330.83</c:v>
                </c:pt>
                <c:pt idx="353">
                  <c:v>323.89999999999998</c:v>
                </c:pt>
                <c:pt idx="354">
                  <c:v>316.39999999999998</c:v>
                </c:pt>
                <c:pt idx="355">
                  <c:v>323.64999999999998</c:v>
                </c:pt>
                <c:pt idx="356">
                  <c:v>321.81</c:v>
                </c:pt>
                <c:pt idx="357">
                  <c:v>326.8</c:v>
                </c:pt>
                <c:pt idx="358">
                  <c:v>335.75</c:v>
                </c:pt>
                <c:pt idx="359">
                  <c:v>335.47</c:v>
                </c:pt>
                <c:pt idx="360">
                  <c:v>336.02</c:v>
                </c:pt>
                <c:pt idx="361">
                  <c:v>339.49</c:v>
                </c:pt>
                <c:pt idx="362">
                  <c:v>342.5</c:v>
                </c:pt>
                <c:pt idx="363">
                  <c:v>338.42</c:v>
                </c:pt>
                <c:pt idx="364">
                  <c:v>339.74</c:v>
                </c:pt>
                <c:pt idx="365">
                  <c:v>338.31</c:v>
                </c:pt>
                <c:pt idx="366">
                  <c:v>330.72</c:v>
                </c:pt>
                <c:pt idx="367">
                  <c:v>325.07</c:v>
                </c:pt>
                <c:pt idx="368">
                  <c:v>319.58</c:v>
                </c:pt>
                <c:pt idx="369">
                  <c:v>314.70999999999998</c:v>
                </c:pt>
                <c:pt idx="370">
                  <c:v>312.36</c:v>
                </c:pt>
                <c:pt idx="371">
                  <c:v>313.45</c:v>
                </c:pt>
                <c:pt idx="372">
                  <c:v>313.66000000000003</c:v>
                </c:pt>
                <c:pt idx="373">
                  <c:v>323.08999999999997</c:v>
                </c:pt>
                <c:pt idx="374">
                  <c:v>322.54000000000002</c:v>
                </c:pt>
                <c:pt idx="375">
                  <c:v>326.61</c:v>
                </c:pt>
                <c:pt idx="376">
                  <c:v>320.05</c:v>
                </c:pt>
                <c:pt idx="377">
                  <c:v>313</c:v>
                </c:pt>
                <c:pt idx="378">
                  <c:v>315.17</c:v>
                </c:pt>
                <c:pt idx="379">
                  <c:v>316.47000000000003</c:v>
                </c:pt>
                <c:pt idx="380">
                  <c:v>320.88</c:v>
                </c:pt>
                <c:pt idx="381">
                  <c:v>326.39999999999998</c:v>
                </c:pt>
                <c:pt idx="382">
                  <c:v>328.68</c:v>
                </c:pt>
                <c:pt idx="383">
                  <c:v>326.19</c:v>
                </c:pt>
                <c:pt idx="384">
                  <c:v>327.2</c:v>
                </c:pt>
                <c:pt idx="385">
                  <c:v>337.27</c:v>
                </c:pt>
                <c:pt idx="386">
                  <c:v>340.55</c:v>
                </c:pt>
                <c:pt idx="387">
                  <c:v>350.86</c:v>
                </c:pt>
                <c:pt idx="388">
                  <c:v>351.96</c:v>
                </c:pt>
                <c:pt idx="389">
                  <c:v>358.93</c:v>
                </c:pt>
                <c:pt idx="390">
                  <c:v>354.7</c:v>
                </c:pt>
                <c:pt idx="391">
                  <c:v>357.56</c:v>
                </c:pt>
                <c:pt idx="392">
                  <c:v>354.51</c:v>
                </c:pt>
                <c:pt idx="393">
                  <c:v>353.23</c:v>
                </c:pt>
                <c:pt idx="394">
                  <c:v>355.87</c:v>
                </c:pt>
                <c:pt idx="395">
                  <c:v>357.72</c:v>
                </c:pt>
                <c:pt idx="396">
                  <c:v>351.1</c:v>
                </c:pt>
                <c:pt idx="397">
                  <c:v>353.16</c:v>
                </c:pt>
                <c:pt idx="398">
                  <c:v>353.22</c:v>
                </c:pt>
                <c:pt idx="399">
                  <c:v>355.56</c:v>
                </c:pt>
                <c:pt idx="400">
                  <c:v>348.26</c:v>
                </c:pt>
                <c:pt idx="401">
                  <c:v>342.69</c:v>
                </c:pt>
                <c:pt idx="402">
                  <c:v>340.4</c:v>
                </c:pt>
                <c:pt idx="403">
                  <c:v>340.73</c:v>
                </c:pt>
                <c:pt idx="404">
                  <c:v>337.74</c:v>
                </c:pt>
                <c:pt idx="405">
                  <c:v>332.21</c:v>
                </c:pt>
                <c:pt idx="406">
                  <c:v>329.11</c:v>
                </c:pt>
                <c:pt idx="407">
                  <c:v>327.52</c:v>
                </c:pt>
                <c:pt idx="408">
                  <c:v>324.93</c:v>
                </c:pt>
                <c:pt idx="409">
                  <c:v>322.06</c:v>
                </c:pt>
                <c:pt idx="410">
                  <c:v>318.79000000000002</c:v>
                </c:pt>
                <c:pt idx="411">
                  <c:v>322.33</c:v>
                </c:pt>
                <c:pt idx="412">
                  <c:v>319.95999999999998</c:v>
                </c:pt>
                <c:pt idx="413">
                  <c:v>320.14999999999998</c:v>
                </c:pt>
                <c:pt idx="414">
                  <c:v>325.97000000000003</c:v>
                </c:pt>
                <c:pt idx="415">
                  <c:v>332.55</c:v>
                </c:pt>
                <c:pt idx="416">
                  <c:v>328.58</c:v>
                </c:pt>
                <c:pt idx="417">
                  <c:v>327.71</c:v>
                </c:pt>
                <c:pt idx="418">
                  <c:v>327.39999999999998</c:v>
                </c:pt>
                <c:pt idx="419">
                  <c:v>323.75</c:v>
                </c:pt>
                <c:pt idx="420">
                  <c:v>321.13</c:v>
                </c:pt>
                <c:pt idx="421">
                  <c:v>321.95999999999998</c:v>
                </c:pt>
                <c:pt idx="422">
                  <c:v>325.52</c:v>
                </c:pt>
                <c:pt idx="423">
                  <c:v>324.64999999999998</c:v>
                </c:pt>
                <c:pt idx="424">
                  <c:v>330.9</c:v>
                </c:pt>
                <c:pt idx="425">
                  <c:v>334.98</c:v>
                </c:pt>
                <c:pt idx="426">
                  <c:v>344.57</c:v>
                </c:pt>
                <c:pt idx="427">
                  <c:v>342.54</c:v>
                </c:pt>
                <c:pt idx="428">
                  <c:v>343.32</c:v>
                </c:pt>
                <c:pt idx="429">
                  <c:v>341.89</c:v>
                </c:pt>
                <c:pt idx="430">
                  <c:v>336.7</c:v>
                </c:pt>
                <c:pt idx="431">
                  <c:v>330.24</c:v>
                </c:pt>
                <c:pt idx="432">
                  <c:v>327.89</c:v>
                </c:pt>
                <c:pt idx="433">
                  <c:v>328.84</c:v>
                </c:pt>
                <c:pt idx="434">
                  <c:v>323.82</c:v>
                </c:pt>
                <c:pt idx="435">
                  <c:v>321.95</c:v>
                </c:pt>
                <c:pt idx="436">
                  <c:v>325.2</c:v>
                </c:pt>
                <c:pt idx="437">
                  <c:v>323.57</c:v>
                </c:pt>
                <c:pt idx="438">
                  <c:v>318.5</c:v>
                </c:pt>
                <c:pt idx="439">
                  <c:v>306.12</c:v>
                </c:pt>
                <c:pt idx="440">
                  <c:v>308.60000000000002</c:v>
                </c:pt>
                <c:pt idx="441">
                  <c:v>310.5</c:v>
                </c:pt>
                <c:pt idx="442">
                  <c:v>312.48</c:v>
                </c:pt>
                <c:pt idx="443">
                  <c:v>312.61</c:v>
                </c:pt>
                <c:pt idx="444">
                  <c:v>314.77</c:v>
                </c:pt>
                <c:pt idx="445">
                  <c:v>313.02</c:v>
                </c:pt>
                <c:pt idx="446">
                  <c:v>309.85000000000002</c:v>
                </c:pt>
                <c:pt idx="447">
                  <c:v>309.3</c:v>
                </c:pt>
                <c:pt idx="448">
                  <c:v>314.39</c:v>
                </c:pt>
                <c:pt idx="449">
                  <c:v>309.36</c:v>
                </c:pt>
                <c:pt idx="450">
                  <c:v>301.95999999999998</c:v>
                </c:pt>
                <c:pt idx="451">
                  <c:v>299.19</c:v>
                </c:pt>
                <c:pt idx="452">
                  <c:v>300.05</c:v>
                </c:pt>
                <c:pt idx="453">
                  <c:v>299.22000000000003</c:v>
                </c:pt>
                <c:pt idx="454">
                  <c:v>299.18</c:v>
                </c:pt>
                <c:pt idx="455">
                  <c:v>296.76</c:v>
                </c:pt>
                <c:pt idx="456">
                  <c:v>296.99</c:v>
                </c:pt>
                <c:pt idx="457">
                  <c:v>289.91000000000003</c:v>
                </c:pt>
                <c:pt idx="458">
                  <c:v>300.83</c:v>
                </c:pt>
                <c:pt idx="459">
                  <c:v>303.61</c:v>
                </c:pt>
                <c:pt idx="460">
                  <c:v>307.16000000000003</c:v>
                </c:pt>
                <c:pt idx="461">
                  <c:v>313.76</c:v>
                </c:pt>
                <c:pt idx="462">
                  <c:v>327.62</c:v>
                </c:pt>
                <c:pt idx="463">
                  <c:v>323.91000000000003</c:v>
                </c:pt>
                <c:pt idx="464">
                  <c:v>323.95</c:v>
                </c:pt>
                <c:pt idx="465">
                  <c:v>324.56</c:v>
                </c:pt>
                <c:pt idx="466">
                  <c:v>320.77999999999997</c:v>
                </c:pt>
                <c:pt idx="467">
                  <c:v>325.51</c:v>
                </c:pt>
                <c:pt idx="468">
                  <c:v>326.91000000000003</c:v>
                </c:pt>
                <c:pt idx="469">
                  <c:v>338.72</c:v>
                </c:pt>
                <c:pt idx="470">
                  <c:v>337.6</c:v>
                </c:pt>
                <c:pt idx="471">
                  <c:v>336.67</c:v>
                </c:pt>
                <c:pt idx="472">
                  <c:v>339.19</c:v>
                </c:pt>
                <c:pt idx="473">
                  <c:v>339.45</c:v>
                </c:pt>
                <c:pt idx="474">
                  <c:v>334.97</c:v>
                </c:pt>
                <c:pt idx="475">
                  <c:v>338.64</c:v>
                </c:pt>
                <c:pt idx="476">
                  <c:v>339.15</c:v>
                </c:pt>
                <c:pt idx="477">
                  <c:v>337.71</c:v>
                </c:pt>
                <c:pt idx="478">
                  <c:v>337.65</c:v>
                </c:pt>
                <c:pt idx="479">
                  <c:v>340.26</c:v>
                </c:pt>
                <c:pt idx="480">
                  <c:v>341.54</c:v>
                </c:pt>
                <c:pt idx="481">
                  <c:v>348.43</c:v>
                </c:pt>
                <c:pt idx="482">
                  <c:v>349.39</c:v>
                </c:pt>
                <c:pt idx="483">
                  <c:v>341.75</c:v>
                </c:pt>
                <c:pt idx="484">
                  <c:v>341.97</c:v>
                </c:pt>
                <c:pt idx="485">
                  <c:v>344.62</c:v>
                </c:pt>
                <c:pt idx="486">
                  <c:v>350.83</c:v>
                </c:pt>
                <c:pt idx="487">
                  <c:v>351.76</c:v>
                </c:pt>
                <c:pt idx="488">
                  <c:v>352.61</c:v>
                </c:pt>
                <c:pt idx="489">
                  <c:v>362.73</c:v>
                </c:pt>
                <c:pt idx="490">
                  <c:v>383.47</c:v>
                </c:pt>
                <c:pt idx="491">
                  <c:v>380.51</c:v>
                </c:pt>
                <c:pt idx="492">
                  <c:v>376.4</c:v>
                </c:pt>
                <c:pt idx="493">
                  <c:v>382.45</c:v>
                </c:pt>
                <c:pt idx="494">
                  <c:v>377.52</c:v>
                </c:pt>
                <c:pt idx="495">
                  <c:v>380.57</c:v>
                </c:pt>
                <c:pt idx="496">
                  <c:v>380.65</c:v>
                </c:pt>
                <c:pt idx="497">
                  <c:v>381.61</c:v>
                </c:pt>
                <c:pt idx="498">
                  <c:v>384.48</c:v>
                </c:pt>
                <c:pt idx="499">
                  <c:v>386.41</c:v>
                </c:pt>
                <c:pt idx="500">
                  <c:v>385.77</c:v>
                </c:pt>
                <c:pt idx="501">
                  <c:v>388.3</c:v>
                </c:pt>
                <c:pt idx="502">
                  <c:v>381.79</c:v>
                </c:pt>
                <c:pt idx="503">
                  <c:v>382.95</c:v>
                </c:pt>
                <c:pt idx="504">
                  <c:v>386.44</c:v>
                </c:pt>
                <c:pt idx="505">
                  <c:v>388.86</c:v>
                </c:pt>
                <c:pt idx="506">
                  <c:v>383.74</c:v>
                </c:pt>
                <c:pt idx="507">
                  <c:v>381.96</c:v>
                </c:pt>
                <c:pt idx="508">
                  <c:v>379.75</c:v>
                </c:pt>
                <c:pt idx="509">
                  <c:v>377.75</c:v>
                </c:pt>
                <c:pt idx="510">
                  <c:v>380.45</c:v>
                </c:pt>
                <c:pt idx="511">
                  <c:v>377.18</c:v>
                </c:pt>
                <c:pt idx="512">
                  <c:v>376.91</c:v>
                </c:pt>
                <c:pt idx="513">
                  <c:v>382.2</c:v>
                </c:pt>
                <c:pt idx="514">
                  <c:v>385.96</c:v>
                </c:pt>
                <c:pt idx="515">
                  <c:v>380.77</c:v>
                </c:pt>
                <c:pt idx="516">
                  <c:v>379.4</c:v>
                </c:pt>
                <c:pt idx="517">
                  <c:v>382.7</c:v>
                </c:pt>
                <c:pt idx="518">
                  <c:v>377.79</c:v>
                </c:pt>
                <c:pt idx="519">
                  <c:v>380.56</c:v>
                </c:pt>
                <c:pt idx="520">
                  <c:v>386.87</c:v>
                </c:pt>
                <c:pt idx="521">
                  <c:v>384.01</c:v>
                </c:pt>
                <c:pt idx="522">
                  <c:v>383.85</c:v>
                </c:pt>
                <c:pt idx="523">
                  <c:v>387.86</c:v>
                </c:pt>
                <c:pt idx="524">
                  <c:v>383.02</c:v>
                </c:pt>
                <c:pt idx="525">
                  <c:v>384.99</c:v>
                </c:pt>
                <c:pt idx="526">
                  <c:v>386.66</c:v>
                </c:pt>
                <c:pt idx="527">
                  <c:v>385.04</c:v>
                </c:pt>
                <c:pt idx="528">
                  <c:v>384.26</c:v>
                </c:pt>
                <c:pt idx="529">
                  <c:v>392.64</c:v>
                </c:pt>
                <c:pt idx="530">
                  <c:v>378.75</c:v>
                </c:pt>
                <c:pt idx="531">
                  <c:v>378.04</c:v>
                </c:pt>
                <c:pt idx="532">
                  <c:v>385.42</c:v>
                </c:pt>
                <c:pt idx="533">
                  <c:v>384.44</c:v>
                </c:pt>
                <c:pt idx="534">
                  <c:v>384.52</c:v>
                </c:pt>
                <c:pt idx="535">
                  <c:v>388.27</c:v>
                </c:pt>
                <c:pt idx="536">
                  <c:v>390.47</c:v>
                </c:pt>
                <c:pt idx="537">
                  <c:v>391.05</c:v>
                </c:pt>
                <c:pt idx="538">
                  <c:v>390.22</c:v>
                </c:pt>
                <c:pt idx="539">
                  <c:v>390.81</c:v>
                </c:pt>
                <c:pt idx="540">
                  <c:v>393.18</c:v>
                </c:pt>
                <c:pt idx="541">
                  <c:v>389.05</c:v>
                </c:pt>
                <c:pt idx="542">
                  <c:v>388.1</c:v>
                </c:pt>
                <c:pt idx="543">
                  <c:v>392.25</c:v>
                </c:pt>
                <c:pt idx="544">
                  <c:v>390.91</c:v>
                </c:pt>
                <c:pt idx="545">
                  <c:v>389.57</c:v>
                </c:pt>
                <c:pt idx="546">
                  <c:v>388.43</c:v>
                </c:pt>
                <c:pt idx="547">
                  <c:v>386.99</c:v>
                </c:pt>
                <c:pt idx="548">
                  <c:v>386.16</c:v>
                </c:pt>
                <c:pt idx="549">
                  <c:v>388.18</c:v>
                </c:pt>
                <c:pt idx="550">
                  <c:v>392.31</c:v>
                </c:pt>
                <c:pt idx="551">
                  <c:v>388.61</c:v>
                </c:pt>
                <c:pt idx="552">
                  <c:v>387.21</c:v>
                </c:pt>
                <c:pt idx="553">
                  <c:v>384.37</c:v>
                </c:pt>
                <c:pt idx="554">
                  <c:v>388.66</c:v>
                </c:pt>
                <c:pt idx="555">
                  <c:v>396.47</c:v>
                </c:pt>
                <c:pt idx="556">
                  <c:v>413.71</c:v>
                </c:pt>
                <c:pt idx="557">
                  <c:v>406.82</c:v>
                </c:pt>
                <c:pt idx="558">
                  <c:v>404.94</c:v>
                </c:pt>
                <c:pt idx="559">
                  <c:v>406.18</c:v>
                </c:pt>
                <c:pt idx="560">
                  <c:v>415.25</c:v>
                </c:pt>
                <c:pt idx="561">
                  <c:v>417.69</c:v>
                </c:pt>
                <c:pt idx="562">
                  <c:v>413.51</c:v>
                </c:pt>
                <c:pt idx="563">
                  <c:v>410.15</c:v>
                </c:pt>
                <c:pt idx="564">
                  <c:v>414</c:v>
                </c:pt>
                <c:pt idx="565">
                  <c:v>406.25</c:v>
                </c:pt>
                <c:pt idx="566">
                  <c:v>408.07</c:v>
                </c:pt>
                <c:pt idx="567">
                  <c:v>410.54</c:v>
                </c:pt>
                <c:pt idx="568">
                  <c:v>410.71</c:v>
                </c:pt>
                <c:pt idx="569">
                  <c:v>400.76</c:v>
                </c:pt>
                <c:pt idx="570">
                  <c:v>397.48</c:v>
                </c:pt>
                <c:pt idx="571">
                  <c:v>389.49</c:v>
                </c:pt>
                <c:pt idx="572">
                  <c:v>400.88</c:v>
                </c:pt>
                <c:pt idx="573">
                  <c:v>396.86</c:v>
                </c:pt>
                <c:pt idx="574">
                  <c:v>403.91</c:v>
                </c:pt>
                <c:pt idx="575">
                  <c:v>403.11</c:v>
                </c:pt>
                <c:pt idx="576">
                  <c:v>404</c:v>
                </c:pt>
                <c:pt idx="577">
                  <c:v>417.35</c:v>
                </c:pt>
                <c:pt idx="578">
                  <c:v>424</c:v>
                </c:pt>
                <c:pt idx="579">
                  <c:v>423.04</c:v>
                </c:pt>
                <c:pt idx="580">
                  <c:v>420.05</c:v>
                </c:pt>
                <c:pt idx="581">
                  <c:v>427.57</c:v>
                </c:pt>
                <c:pt idx="582">
                  <c:v>430.81</c:v>
                </c:pt>
                <c:pt idx="583">
                  <c:v>426.71</c:v>
                </c:pt>
                <c:pt idx="584">
                  <c:v>426.95</c:v>
                </c:pt>
                <c:pt idx="585">
                  <c:v>432.57</c:v>
                </c:pt>
                <c:pt idx="586">
                  <c:v>438.18</c:v>
                </c:pt>
                <c:pt idx="587">
                  <c:v>443.67</c:v>
                </c:pt>
                <c:pt idx="588">
                  <c:v>443.8</c:v>
                </c:pt>
                <c:pt idx="589">
                  <c:v>446.95</c:v>
                </c:pt>
                <c:pt idx="590">
                  <c:v>455.56</c:v>
                </c:pt>
                <c:pt idx="591">
                  <c:v>454.73</c:v>
                </c:pt>
                <c:pt idx="592">
                  <c:v>453.56</c:v>
                </c:pt>
                <c:pt idx="593">
                  <c:v>458.47</c:v>
                </c:pt>
                <c:pt idx="594">
                  <c:v>466.09</c:v>
                </c:pt>
                <c:pt idx="595">
                  <c:v>464.52</c:v>
                </c:pt>
                <c:pt idx="596">
                  <c:v>467.72</c:v>
                </c:pt>
                <c:pt idx="597">
                  <c:v>462.94</c:v>
                </c:pt>
                <c:pt idx="598">
                  <c:v>470.41</c:v>
                </c:pt>
                <c:pt idx="599">
                  <c:v>462.38</c:v>
                </c:pt>
                <c:pt idx="600">
                  <c:v>458.15</c:v>
                </c:pt>
                <c:pt idx="601">
                  <c:v>461.18</c:v>
                </c:pt>
                <c:pt idx="602">
                  <c:v>459.81</c:v>
                </c:pt>
                <c:pt idx="603">
                  <c:v>457.17</c:v>
                </c:pt>
                <c:pt idx="604">
                  <c:v>450.23</c:v>
                </c:pt>
                <c:pt idx="605">
                  <c:v>456.52</c:v>
                </c:pt>
                <c:pt idx="606">
                  <c:v>454.98</c:v>
                </c:pt>
                <c:pt idx="607">
                  <c:v>455.3</c:v>
                </c:pt>
                <c:pt idx="608">
                  <c:v>461.68</c:v>
                </c:pt>
                <c:pt idx="609">
                  <c:v>458.1</c:v>
                </c:pt>
                <c:pt idx="610">
                  <c:v>454.91</c:v>
                </c:pt>
                <c:pt idx="611">
                  <c:v>453.55</c:v>
                </c:pt>
                <c:pt idx="612">
                  <c:v>444.27</c:v>
                </c:pt>
                <c:pt idx="613">
                  <c:v>448.7</c:v>
                </c:pt>
                <c:pt idx="614">
                  <c:v>446.35</c:v>
                </c:pt>
                <c:pt idx="615">
                  <c:v>446.46</c:v>
                </c:pt>
                <c:pt idx="616">
                  <c:v>450.18</c:v>
                </c:pt>
                <c:pt idx="617">
                  <c:v>457.43</c:v>
                </c:pt>
                <c:pt idx="618">
                  <c:v>458.05</c:v>
                </c:pt>
                <c:pt idx="619">
                  <c:v>450.18</c:v>
                </c:pt>
                <c:pt idx="620">
                  <c:v>462.09</c:v>
                </c:pt>
                <c:pt idx="621">
                  <c:v>457.38</c:v>
                </c:pt>
                <c:pt idx="622">
                  <c:v>455.86</c:v>
                </c:pt>
                <c:pt idx="623">
                  <c:v>445.96</c:v>
                </c:pt>
                <c:pt idx="624">
                  <c:v>452.32</c:v>
                </c:pt>
                <c:pt idx="625">
                  <c:v>463.66</c:v>
                </c:pt>
                <c:pt idx="626">
                  <c:v>465.61</c:v>
                </c:pt>
                <c:pt idx="627">
                  <c:v>467.92</c:v>
                </c:pt>
                <c:pt idx="628">
                  <c:v>464.75</c:v>
                </c:pt>
                <c:pt idx="629">
                  <c:v>464.82</c:v>
                </c:pt>
                <c:pt idx="630">
                  <c:v>472.83</c:v>
                </c:pt>
                <c:pt idx="631">
                  <c:v>478.89</c:v>
                </c:pt>
                <c:pt idx="632">
                  <c:v>479.23</c:v>
                </c:pt>
                <c:pt idx="633">
                  <c:v>479.88</c:v>
                </c:pt>
                <c:pt idx="634">
                  <c:v>492.23</c:v>
                </c:pt>
                <c:pt idx="635">
                  <c:v>503.02</c:v>
                </c:pt>
                <c:pt idx="636">
                  <c:v>502.18</c:v>
                </c:pt>
                <c:pt idx="637">
                  <c:v>486.21</c:v>
                </c:pt>
                <c:pt idx="638">
                  <c:v>484.93</c:v>
                </c:pt>
                <c:pt idx="639">
                  <c:v>487.04</c:v>
                </c:pt>
                <c:pt idx="640">
                  <c:v>492.15</c:v>
                </c:pt>
                <c:pt idx="641">
                  <c:v>486.7</c:v>
                </c:pt>
                <c:pt idx="642">
                  <c:v>491.71</c:v>
                </c:pt>
                <c:pt idx="643">
                  <c:v>499.03</c:v>
                </c:pt>
                <c:pt idx="644">
                  <c:v>492.72</c:v>
                </c:pt>
                <c:pt idx="645">
                  <c:v>505.67</c:v>
                </c:pt>
                <c:pt idx="646">
                  <c:v>509.03</c:v>
                </c:pt>
                <c:pt idx="647">
                  <c:v>500.12</c:v>
                </c:pt>
                <c:pt idx="648">
                  <c:v>470.64</c:v>
                </c:pt>
                <c:pt idx="649">
                  <c:v>459.02</c:v>
                </c:pt>
                <c:pt idx="650">
                  <c:v>470.22</c:v>
                </c:pt>
                <c:pt idx="651">
                  <c:v>473.01</c:v>
                </c:pt>
                <c:pt idx="652">
                  <c:v>485.77</c:v>
                </c:pt>
                <c:pt idx="653">
                  <c:v>490.26</c:v>
                </c:pt>
                <c:pt idx="654">
                  <c:v>485.5</c:v>
                </c:pt>
                <c:pt idx="655">
                  <c:v>491.94</c:v>
                </c:pt>
                <c:pt idx="656">
                  <c:v>498.7</c:v>
                </c:pt>
                <c:pt idx="657">
                  <c:v>499.02</c:v>
                </c:pt>
                <c:pt idx="658">
                  <c:v>504.26</c:v>
                </c:pt>
                <c:pt idx="659">
                  <c:v>504.68</c:v>
                </c:pt>
                <c:pt idx="660">
                  <c:v>497.34</c:v>
                </c:pt>
                <c:pt idx="661">
                  <c:v>496.46</c:v>
                </c:pt>
                <c:pt idx="662">
                  <c:v>497.75</c:v>
                </c:pt>
                <c:pt idx="663">
                  <c:v>509.42</c:v>
                </c:pt>
                <c:pt idx="664">
                  <c:v>507.87</c:v>
                </c:pt>
                <c:pt idx="665">
                  <c:v>507.26</c:v>
                </c:pt>
                <c:pt idx="666">
                  <c:v>503.33</c:v>
                </c:pt>
                <c:pt idx="667">
                  <c:v>510.1</c:v>
                </c:pt>
                <c:pt idx="668">
                  <c:v>510.25</c:v>
                </c:pt>
                <c:pt idx="669">
                  <c:v>487.46</c:v>
                </c:pt>
                <c:pt idx="670">
                  <c:v>490.64</c:v>
                </c:pt>
                <c:pt idx="671">
                  <c:v>487.88</c:v>
                </c:pt>
                <c:pt idx="672">
                  <c:v>479.61</c:v>
                </c:pt>
                <c:pt idx="673">
                  <c:v>488.57</c:v>
                </c:pt>
                <c:pt idx="674">
                  <c:v>467.13</c:v>
                </c:pt>
                <c:pt idx="675">
                  <c:v>471.17</c:v>
                </c:pt>
                <c:pt idx="676">
                  <c:v>474.06</c:v>
                </c:pt>
                <c:pt idx="677">
                  <c:v>478.99</c:v>
                </c:pt>
                <c:pt idx="678">
                  <c:v>485.16</c:v>
                </c:pt>
                <c:pt idx="679">
                  <c:v>485.39</c:v>
                </c:pt>
                <c:pt idx="680">
                  <c:v>484.58</c:v>
                </c:pt>
                <c:pt idx="681">
                  <c:v>503.83</c:v>
                </c:pt>
                <c:pt idx="682">
                  <c:v>498.43</c:v>
                </c:pt>
                <c:pt idx="683">
                  <c:v>497.41</c:v>
                </c:pt>
                <c:pt idx="684">
                  <c:v>498.02</c:v>
                </c:pt>
                <c:pt idx="685">
                  <c:v>491.14</c:v>
                </c:pt>
                <c:pt idx="686">
                  <c:v>496.92</c:v>
                </c:pt>
                <c:pt idx="687">
                  <c:v>498.51</c:v>
                </c:pt>
                <c:pt idx="688">
                  <c:v>495.11</c:v>
                </c:pt>
                <c:pt idx="689">
                  <c:v>490.17</c:v>
                </c:pt>
                <c:pt idx="690">
                  <c:v>491.99</c:v>
                </c:pt>
                <c:pt idx="691">
                  <c:v>486.1</c:v>
                </c:pt>
                <c:pt idx="692">
                  <c:v>495.16</c:v>
                </c:pt>
                <c:pt idx="693">
                  <c:v>494.62</c:v>
                </c:pt>
                <c:pt idx="694">
                  <c:v>496.57</c:v>
                </c:pt>
                <c:pt idx="695">
                  <c:v>505.18</c:v>
                </c:pt>
                <c:pt idx="696">
                  <c:v>503.72</c:v>
                </c:pt>
                <c:pt idx="697">
                  <c:v>516.29999999999995</c:v>
                </c:pt>
                <c:pt idx="698">
                  <c:v>522.75</c:v>
                </c:pt>
                <c:pt idx="699">
                  <c:v>522.38</c:v>
                </c:pt>
                <c:pt idx="700">
                  <c:v>529.86</c:v>
                </c:pt>
                <c:pt idx="701">
                  <c:v>529</c:v>
                </c:pt>
                <c:pt idx="702">
                  <c:v>528.5</c:v>
                </c:pt>
                <c:pt idx="703">
                  <c:v>517.79999999999995</c:v>
                </c:pt>
                <c:pt idx="704">
                  <c:v>518.29999999999995</c:v>
                </c:pt>
                <c:pt idx="705">
                  <c:v>517.20000000000005</c:v>
                </c:pt>
                <c:pt idx="706">
                  <c:v>524.5</c:v>
                </c:pt>
                <c:pt idx="707">
                  <c:v>512.6</c:v>
                </c:pt>
                <c:pt idx="708">
                  <c:v>523.58000000000004</c:v>
                </c:pt>
                <c:pt idx="709">
                  <c:v>524.28</c:v>
                </c:pt>
                <c:pt idx="710">
                  <c:v>524.4</c:v>
                </c:pt>
                <c:pt idx="711">
                  <c:v>517.79</c:v>
                </c:pt>
                <c:pt idx="712">
                  <c:v>519.35</c:v>
                </c:pt>
                <c:pt idx="713">
                  <c:v>511.47</c:v>
                </c:pt>
                <c:pt idx="714">
                  <c:v>526.96</c:v>
                </c:pt>
                <c:pt idx="715">
                  <c:v>595.98</c:v>
                </c:pt>
                <c:pt idx="716">
                  <c:v>582.16999999999996</c:v>
                </c:pt>
                <c:pt idx="717">
                  <c:v>589.26</c:v>
                </c:pt>
                <c:pt idx="718">
                  <c:v>602.34</c:v>
                </c:pt>
                <c:pt idx="719">
                  <c:v>592.59</c:v>
                </c:pt>
                <c:pt idx="720">
                  <c:v>594.22</c:v>
                </c:pt>
                <c:pt idx="721">
                  <c:v>588.61</c:v>
                </c:pt>
                <c:pt idx="722">
                  <c:v>593.54</c:v>
                </c:pt>
                <c:pt idx="723">
                  <c:v>587.99</c:v>
                </c:pt>
                <c:pt idx="724">
                  <c:v>581.38</c:v>
                </c:pt>
                <c:pt idx="725">
                  <c:v>581.92999999999995</c:v>
                </c:pt>
                <c:pt idx="726">
                  <c:v>596.11</c:v>
                </c:pt>
                <c:pt idx="727">
                  <c:v>602.78</c:v>
                </c:pt>
                <c:pt idx="728">
                  <c:v>603.03</c:v>
                </c:pt>
                <c:pt idx="729">
                  <c:v>605.5</c:v>
                </c:pt>
                <c:pt idx="730">
                  <c:v>605.42999999999995</c:v>
                </c:pt>
                <c:pt idx="731">
                  <c:v>608.57000000000005</c:v>
                </c:pt>
                <c:pt idx="732">
                  <c:v>601.71</c:v>
                </c:pt>
                <c:pt idx="733">
                  <c:v>602.08000000000004</c:v>
                </c:pt>
                <c:pt idx="734">
                  <c:v>598.71</c:v>
                </c:pt>
                <c:pt idx="735">
                  <c:v>596.79999999999995</c:v>
                </c:pt>
                <c:pt idx="736">
                  <c:v>599.67999999999995</c:v>
                </c:pt>
                <c:pt idx="737">
                  <c:v>594.12</c:v>
                </c:pt>
                <c:pt idx="738">
                  <c:v>585.03</c:v>
                </c:pt>
                <c:pt idx="739">
                  <c:v>592.55999999999995</c:v>
                </c:pt>
                <c:pt idx="740">
                  <c:v>591.61</c:v>
                </c:pt>
                <c:pt idx="741">
                  <c:v>585.48</c:v>
                </c:pt>
                <c:pt idx="742">
                  <c:v>586.33000000000004</c:v>
                </c:pt>
                <c:pt idx="743">
                  <c:v>574.67999999999995</c:v>
                </c:pt>
                <c:pt idx="744">
                  <c:v>550.25</c:v>
                </c:pt>
                <c:pt idx="745">
                  <c:v>553.99</c:v>
                </c:pt>
                <c:pt idx="746">
                  <c:v>566.1</c:v>
                </c:pt>
                <c:pt idx="747">
                  <c:v>570.78</c:v>
                </c:pt>
                <c:pt idx="748">
                  <c:v>582.79</c:v>
                </c:pt>
                <c:pt idx="749">
                  <c:v>581.23</c:v>
                </c:pt>
                <c:pt idx="750">
                  <c:v>576.17999999999995</c:v>
                </c:pt>
                <c:pt idx="751">
                  <c:v>573.54999999999995</c:v>
                </c:pt>
                <c:pt idx="752">
                  <c:v>572.62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3-42DA-B908-D08CFA8E8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336887"/>
        <c:axId val="1590119447"/>
      </c:lineChart>
      <c:dateAx>
        <c:axId val="1034336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m/d/yyyy\ h:mm:ss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0119447"/>
        <c:crosses val="autoZero"/>
        <c:auto val="1"/>
        <c:lblOffset val="100"/>
        <c:baseTimeUnit val="days"/>
      </c:dateAx>
      <c:valAx>
        <c:axId val="159011944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433688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JPM Daily Returns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Sheet1!$H$7:$H$8</c:f>
              <c:strCache>
                <c:ptCount val="2"/>
                <c:pt idx="0">
                  <c:v>3.79%</c:v>
                </c:pt>
                <c:pt idx="1">
                  <c:v>-2.41%</c:v>
                </c:pt>
              </c:strCache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Sheet1!$H$9:$H$758</c:f>
              <c:numCache>
                <c:formatCode>0.00%</c:formatCode>
                <c:ptCount val="750"/>
                <c:pt idx="0">
                  <c:v>1.0624007815362102E-2</c:v>
                </c:pt>
                <c:pt idx="1">
                  <c:v>9.9081681971966429E-3</c:v>
                </c:pt>
                <c:pt idx="2">
                  <c:v>9.5716678631241336E-4</c:v>
                </c:pt>
                <c:pt idx="3">
                  <c:v>1.0160172125270872E-3</c:v>
                </c:pt>
                <c:pt idx="4">
                  <c:v>5.671980416741329E-3</c:v>
                </c:pt>
                <c:pt idx="5">
                  <c:v>-1.2467347423414932E-3</c:v>
                </c:pt>
                <c:pt idx="6">
                  <c:v>-6.1463472626760995E-2</c:v>
                </c:pt>
                <c:pt idx="7">
                  <c:v>-4.1927924504401637E-2</c:v>
                </c:pt>
                <c:pt idx="8">
                  <c:v>-1.546902888874202E-2</c:v>
                </c:pt>
                <c:pt idx="9">
                  <c:v>-8.5274961391258453E-3</c:v>
                </c:pt>
                <c:pt idx="10">
                  <c:v>-1.7472572125152297E-2</c:v>
                </c:pt>
                <c:pt idx="11">
                  <c:v>-8.9605734767039813E-4</c:v>
                </c:pt>
                <c:pt idx="12">
                  <c:v>1.0900310451880113E-2</c:v>
                </c:pt>
                <c:pt idx="13">
                  <c:v>9.4861120589639913E-3</c:v>
                </c:pt>
                <c:pt idx="14">
                  <c:v>-1.7644672796105931E-2</c:v>
                </c:pt>
                <c:pt idx="15">
                  <c:v>8.9463904755351376E-3</c:v>
                </c:pt>
                <c:pt idx="16">
                  <c:v>1.3573426096446184E-2</c:v>
                </c:pt>
                <c:pt idx="17">
                  <c:v>1.7160161507402405E-2</c:v>
                </c:pt>
                <c:pt idx="18">
                  <c:v>-8.0052927555409603E-3</c:v>
                </c:pt>
                <c:pt idx="19">
                  <c:v>-8.2699746565293442E-3</c:v>
                </c:pt>
                <c:pt idx="20">
                  <c:v>2.595830531271015E-2</c:v>
                </c:pt>
                <c:pt idx="21">
                  <c:v>3.3429470372312586E-3</c:v>
                </c:pt>
                <c:pt idx="22">
                  <c:v>1.8814921277846786E-2</c:v>
                </c:pt>
                <c:pt idx="23">
                  <c:v>4.1680025649246666E-3</c:v>
                </c:pt>
                <c:pt idx="24">
                  <c:v>-4.1507024265645676E-3</c:v>
                </c:pt>
                <c:pt idx="25">
                  <c:v>-1.3016992625841661E-2</c:v>
                </c:pt>
                <c:pt idx="26">
                  <c:v>-9.2905405405403485E-3</c:v>
                </c:pt>
                <c:pt idx="27">
                  <c:v>1.4623909764574616E-2</c:v>
                </c:pt>
                <c:pt idx="28">
                  <c:v>1.8097207859359976E-3</c:v>
                </c:pt>
                <c:pt idx="29">
                  <c:v>-2.3032258064516031E-2</c:v>
                </c:pt>
                <c:pt idx="30">
                  <c:v>4.6886350128771959E-3</c:v>
                </c:pt>
                <c:pt idx="31">
                  <c:v>-1.7746812146706148E-3</c:v>
                </c:pt>
                <c:pt idx="32">
                  <c:v>-2.093896095344705E-2</c:v>
                </c:pt>
                <c:pt idx="33">
                  <c:v>-2.7843163629026724E-2</c:v>
                </c:pt>
                <c:pt idx="34">
                  <c:v>2.3659633344863318E-2</c:v>
                </c:pt>
                <c:pt idx="35">
                  <c:v>-4.1697641413800057E-2</c:v>
                </c:pt>
                <c:pt idx="36">
                  <c:v>-3.7729196050775848E-2</c:v>
                </c:pt>
                <c:pt idx="37">
                  <c:v>2.0740197874679511E-2</c:v>
                </c:pt>
                <c:pt idx="38">
                  <c:v>-7.1079839172889514E-3</c:v>
                </c:pt>
                <c:pt idx="39">
                  <c:v>-2.8129293513630693E-2</c:v>
                </c:pt>
                <c:pt idx="40">
                  <c:v>-3.8616071428571375E-2</c:v>
                </c:pt>
                <c:pt idx="41">
                  <c:v>-7.0427985450042252E-3</c:v>
                </c:pt>
                <c:pt idx="42">
                  <c:v>4.0062353858144828E-2</c:v>
                </c:pt>
                <c:pt idx="43">
                  <c:v>-1.1840527577937521E-2</c:v>
                </c:pt>
                <c:pt idx="44">
                  <c:v>-2.2523888973153494E-2</c:v>
                </c:pt>
                <c:pt idx="45">
                  <c:v>9.9309488711303295E-3</c:v>
                </c:pt>
                <c:pt idx="46">
                  <c:v>1.7746024429592167E-2</c:v>
                </c:pt>
                <c:pt idx="47">
                  <c:v>4.468599033816445E-2</c:v>
                </c:pt>
                <c:pt idx="48">
                  <c:v>1.2644508670520249E-2</c:v>
                </c:pt>
                <c:pt idx="49">
                  <c:v>-3.5676061362832634E-4</c:v>
                </c:pt>
                <c:pt idx="50">
                  <c:v>-3.2119914346894207E-3</c:v>
                </c:pt>
                <c:pt idx="51">
                  <c:v>2.1267454350161197E-2</c:v>
                </c:pt>
                <c:pt idx="52">
                  <c:v>-1.9913055672416191E-2</c:v>
                </c:pt>
                <c:pt idx="53">
                  <c:v>6.5102303619974933E-3</c:v>
                </c:pt>
                <c:pt idx="54">
                  <c:v>8.7426256308194006E-3</c:v>
                </c:pt>
                <c:pt idx="55">
                  <c:v>-7.3985343855692554E-3</c:v>
                </c:pt>
                <c:pt idx="56">
                  <c:v>2.2006104919429781E-3</c:v>
                </c:pt>
                <c:pt idx="57">
                  <c:v>-4.5332200028334046E-3</c:v>
                </c:pt>
                <c:pt idx="58">
                  <c:v>-3.0027038565532904E-2</c:v>
                </c:pt>
                <c:pt idx="59">
                  <c:v>-7.4090375586853829E-3</c:v>
                </c:pt>
                <c:pt idx="60">
                  <c:v>4.4342620648880615E-3</c:v>
                </c:pt>
                <c:pt idx="61">
                  <c:v>-1.8909572511220607E-2</c:v>
                </c:pt>
                <c:pt idx="62">
                  <c:v>-1.3874306284685778E-2</c:v>
                </c:pt>
                <c:pt idx="63">
                  <c:v>-3.0420564301467667E-3</c:v>
                </c:pt>
                <c:pt idx="64">
                  <c:v>1.8308032649325012E-2</c:v>
                </c:pt>
                <c:pt idx="65">
                  <c:v>-3.6706869428422273E-3</c:v>
                </c:pt>
                <c:pt idx="66">
                  <c:v>-1.0977443609022641E-2</c:v>
                </c:pt>
                <c:pt idx="67">
                  <c:v>-3.2233541128173893E-2</c:v>
                </c:pt>
                <c:pt idx="68">
                  <c:v>-9.2694422623722517E-3</c:v>
                </c:pt>
                <c:pt idx="69">
                  <c:v>1.8553758325404512E-2</c:v>
                </c:pt>
                <c:pt idx="70">
                  <c:v>2.0706834812392882E-2</c:v>
                </c:pt>
                <c:pt idx="71">
                  <c:v>3.5082367297132322E-3</c:v>
                </c:pt>
                <c:pt idx="72">
                  <c:v>-7.7519379844962488E-3</c:v>
                </c:pt>
                <c:pt idx="73">
                  <c:v>-2.8722426470588203E-2</c:v>
                </c:pt>
                <c:pt idx="74">
                  <c:v>-3.1543253686627803E-4</c:v>
                </c:pt>
                <c:pt idx="75">
                  <c:v>-2.9581131182456422E-2</c:v>
                </c:pt>
                <c:pt idx="76">
                  <c:v>-1.3006015282067906E-2</c:v>
                </c:pt>
                <c:pt idx="77">
                  <c:v>1.5812880909240601E-2</c:v>
                </c:pt>
                <c:pt idx="78">
                  <c:v>-3.2268526025620248E-2</c:v>
                </c:pt>
                <c:pt idx="79">
                  <c:v>9.1320375335119941E-3</c:v>
                </c:pt>
                <c:pt idx="80">
                  <c:v>2.1419676214196715E-2</c:v>
                </c:pt>
                <c:pt idx="81">
                  <c:v>3.3081362269365089E-2</c:v>
                </c:pt>
                <c:pt idx="82">
                  <c:v>-2.5019669551534118E-2</c:v>
                </c:pt>
                <c:pt idx="83">
                  <c:v>-1.6139444803099368E-3</c:v>
                </c:pt>
                <c:pt idx="84">
                  <c:v>-1.5033947623666388E-2</c:v>
                </c:pt>
                <c:pt idx="85">
                  <c:v>-2.4372230428360453E-2</c:v>
                </c:pt>
                <c:pt idx="86">
                  <c:v>-6.3083522583901042E-3</c:v>
                </c:pt>
                <c:pt idx="87">
                  <c:v>-8.4645336041977437E-4</c:v>
                </c:pt>
                <c:pt idx="88">
                  <c:v>8.8952897322940316E-3</c:v>
                </c:pt>
                <c:pt idx="89">
                  <c:v>-6.9695188512889361E-3</c:v>
                </c:pt>
                <c:pt idx="90">
                  <c:v>3.3147302553695246E-2</c:v>
                </c:pt>
                <c:pt idx="91">
                  <c:v>-1.7105909314126699E-2</c:v>
                </c:pt>
                <c:pt idx="92">
                  <c:v>-1.4822216670830168E-2</c:v>
                </c:pt>
                <c:pt idx="93">
                  <c:v>-8.1987997633335974E-3</c:v>
                </c:pt>
                <c:pt idx="94">
                  <c:v>6.1871484574739899E-2</c:v>
                </c:pt>
                <c:pt idx="95">
                  <c:v>1.4125200642054692E-2</c:v>
                </c:pt>
                <c:pt idx="96">
                  <c:v>6.9642291864513428E-3</c:v>
                </c:pt>
                <c:pt idx="97">
                  <c:v>1.7290160326941306E-2</c:v>
                </c:pt>
                <c:pt idx="98">
                  <c:v>1.4137824474660166E-2</c:v>
                </c:pt>
                <c:pt idx="99">
                  <c:v>7.3131713262739595E-3</c:v>
                </c:pt>
                <c:pt idx="100">
                  <c:v>-1.7545186417605607E-2</c:v>
                </c:pt>
                <c:pt idx="101">
                  <c:v>1.608806096528359E-2</c:v>
                </c:pt>
                <c:pt idx="102">
                  <c:v>-1.3939393939393918E-2</c:v>
                </c:pt>
                <c:pt idx="103">
                  <c:v>-3.3036263060848281E-3</c:v>
                </c:pt>
                <c:pt idx="104">
                  <c:v>2.6208278732753332E-3</c:v>
                </c:pt>
                <c:pt idx="105">
                  <c:v>-1.5914507572845293E-2</c:v>
                </c:pt>
                <c:pt idx="106">
                  <c:v>-2.1015624999999982E-2</c:v>
                </c:pt>
                <c:pt idx="107">
                  <c:v>-4.5966004309312969E-2</c:v>
                </c:pt>
                <c:pt idx="108">
                  <c:v>-2.9778335424508584E-2</c:v>
                </c:pt>
                <c:pt idx="109">
                  <c:v>-1.6639365462539857E-2</c:v>
                </c:pt>
                <c:pt idx="110">
                  <c:v>1.183587585481316E-2</c:v>
                </c:pt>
                <c:pt idx="111">
                  <c:v>-1.7156225630361233E-2</c:v>
                </c:pt>
                <c:pt idx="112">
                  <c:v>-3.5264039495724875E-3</c:v>
                </c:pt>
                <c:pt idx="113">
                  <c:v>2.4772184375829509E-2</c:v>
                </c:pt>
                <c:pt idx="114">
                  <c:v>-5.6116722783389195E-3</c:v>
                </c:pt>
                <c:pt idx="115">
                  <c:v>-1.0939399201250311E-2</c:v>
                </c:pt>
                <c:pt idx="116">
                  <c:v>2.9845505617977386E-2</c:v>
                </c:pt>
                <c:pt idx="117">
                  <c:v>-8.012274122059293E-3</c:v>
                </c:pt>
                <c:pt idx="118">
                  <c:v>-4.8118233373432018E-3</c:v>
                </c:pt>
                <c:pt idx="119">
                  <c:v>-4.4897254360213301E-3</c:v>
                </c:pt>
                <c:pt idx="120">
                  <c:v>-2.3330442324371203E-2</c:v>
                </c:pt>
                <c:pt idx="121">
                  <c:v>1.2787496669922627E-2</c:v>
                </c:pt>
                <c:pt idx="122">
                  <c:v>-1.2538360368259505E-2</c:v>
                </c:pt>
                <c:pt idx="123">
                  <c:v>-6.4819747824542695E-3</c:v>
                </c:pt>
                <c:pt idx="124">
                  <c:v>2.5292698185717999E-2</c:v>
                </c:pt>
                <c:pt idx="125">
                  <c:v>-3.1380753138074979E-3</c:v>
                </c:pt>
                <c:pt idx="126">
                  <c:v>-1.3116474291710367E-2</c:v>
                </c:pt>
                <c:pt idx="127">
                  <c:v>9.746588693957392E-4</c:v>
                </c:pt>
                <c:pt idx="128">
                  <c:v>-9.3830220412498555E-3</c:v>
                </c:pt>
                <c:pt idx="129">
                  <c:v>-3.4938790099186767E-2</c:v>
                </c:pt>
                <c:pt idx="130">
                  <c:v>4.5833333333333393E-2</c:v>
                </c:pt>
                <c:pt idx="131">
                  <c:v>-1.0270030987162393E-2</c:v>
                </c:pt>
                <c:pt idx="132">
                  <c:v>2.4778602737275168E-2</c:v>
                </c:pt>
                <c:pt idx="133">
                  <c:v>-1.7458100558653822E-4</c:v>
                </c:pt>
                <c:pt idx="134">
                  <c:v>6.8098480880041112E-3</c:v>
                </c:pt>
                <c:pt idx="135">
                  <c:v>-4.8560527228580508E-3</c:v>
                </c:pt>
                <c:pt idx="136">
                  <c:v>4.0083652840710027E-3</c:v>
                </c:pt>
                <c:pt idx="137">
                  <c:v>-1.5622287797257384E-2</c:v>
                </c:pt>
                <c:pt idx="138">
                  <c:v>1.6046552636219236E-2</c:v>
                </c:pt>
                <c:pt idx="139">
                  <c:v>-3.7313432835820448E-3</c:v>
                </c:pt>
                <c:pt idx="140">
                  <c:v>4.7905234735650115E-3</c:v>
                </c:pt>
                <c:pt idx="141">
                  <c:v>-9.9687933425798292E-3</c:v>
                </c:pt>
                <c:pt idx="142">
                  <c:v>-1.5585325277996609E-2</c:v>
                </c:pt>
                <c:pt idx="143">
                  <c:v>1.0495419372053671E-2</c:v>
                </c:pt>
                <c:pt idx="144">
                  <c:v>-1.1002552592201398E-2</c:v>
                </c:pt>
                <c:pt idx="145">
                  <c:v>3.025987896048421E-2</c:v>
                </c:pt>
                <c:pt idx="146">
                  <c:v>-1.2180373185901927E-2</c:v>
                </c:pt>
                <c:pt idx="147">
                  <c:v>9.0074333187581956E-3</c:v>
                </c:pt>
                <c:pt idx="148">
                  <c:v>2.6087710175073608E-2</c:v>
                </c:pt>
                <c:pt idx="149">
                  <c:v>1.4781653855900023E-2</c:v>
                </c:pt>
                <c:pt idx="150">
                  <c:v>1.6564008656567264E-2</c:v>
                </c:pt>
                <c:pt idx="151">
                  <c:v>2.7020388111029803E-3</c:v>
                </c:pt>
                <c:pt idx="152">
                  <c:v>9.5541401273886439E-3</c:v>
                </c:pt>
                <c:pt idx="153">
                  <c:v>-8.4121976866455839E-3</c:v>
                </c:pt>
                <c:pt idx="154">
                  <c:v>-7.7494085977649618E-3</c:v>
                </c:pt>
                <c:pt idx="155">
                  <c:v>-2.4745149621834939E-2</c:v>
                </c:pt>
                <c:pt idx="156">
                  <c:v>-1.652195903228515E-2</c:v>
                </c:pt>
                <c:pt idx="157">
                  <c:v>-9.8568612325362626E-3</c:v>
                </c:pt>
                <c:pt idx="158">
                  <c:v>2.4238227146815561E-3</c:v>
                </c:pt>
                <c:pt idx="159">
                  <c:v>2.3747841105353995E-2</c:v>
                </c:pt>
                <c:pt idx="160">
                  <c:v>-3.2728806410797118E-2</c:v>
                </c:pt>
                <c:pt idx="161">
                  <c:v>-2.4417894828638875E-3</c:v>
                </c:pt>
                <c:pt idx="162">
                  <c:v>1.7484045808191517E-4</c:v>
                </c:pt>
                <c:pt idx="163">
                  <c:v>-5.9435364041604544E-3</c:v>
                </c:pt>
                <c:pt idx="164">
                  <c:v>6.8583487206541616E-3</c:v>
                </c:pt>
                <c:pt idx="165">
                  <c:v>-6.9862894070388259E-3</c:v>
                </c:pt>
                <c:pt idx="166">
                  <c:v>2.6382903878285902E-4</c:v>
                </c:pt>
                <c:pt idx="167">
                  <c:v>1.8990680499384682E-2</c:v>
                </c:pt>
                <c:pt idx="168">
                  <c:v>2.3295944779982536E-2</c:v>
                </c:pt>
                <c:pt idx="169">
                  <c:v>4.8060708263069074E-3</c:v>
                </c:pt>
                <c:pt idx="170">
                  <c:v>1.1831836871695867E-2</c:v>
                </c:pt>
                <c:pt idx="171">
                  <c:v>-3.4748714546359194E-2</c:v>
                </c:pt>
                <c:pt idx="172">
                  <c:v>-2.3197869232751689E-3</c:v>
                </c:pt>
                <c:pt idx="173">
                  <c:v>1.5070616603513498E-2</c:v>
                </c:pt>
                <c:pt idx="174">
                  <c:v>-6.7022991431238133E-3</c:v>
                </c:pt>
                <c:pt idx="175">
                  <c:v>9.2244619063888145E-3</c:v>
                </c:pt>
                <c:pt idx="176">
                  <c:v>-1.9719025050778605E-2</c:v>
                </c:pt>
                <c:pt idx="177">
                  <c:v>-2.8835362168695533E-2</c:v>
                </c:pt>
                <c:pt idx="178">
                  <c:v>-1.1378789225709007E-2</c:v>
                </c:pt>
                <c:pt idx="179">
                  <c:v>-1.8613434043701083E-2</c:v>
                </c:pt>
                <c:pt idx="180">
                  <c:v>-2.1531977276892045E-2</c:v>
                </c:pt>
                <c:pt idx="181">
                  <c:v>-8.8023223148235852E-3</c:v>
                </c:pt>
                <c:pt idx="182">
                  <c:v>2.0217288615965945E-2</c:v>
                </c:pt>
                <c:pt idx="183">
                  <c:v>-1.694601351977032E-2</c:v>
                </c:pt>
                <c:pt idx="184">
                  <c:v>-1.5636774679728682E-2</c:v>
                </c:pt>
                <c:pt idx="185">
                  <c:v>3.0909090909090997E-2</c:v>
                </c:pt>
                <c:pt idx="186">
                  <c:v>4.6783625730994149E-2</c:v>
                </c:pt>
                <c:pt idx="187">
                  <c:v>-2.110490378646801E-2</c:v>
                </c:pt>
                <c:pt idx="188">
                  <c:v>-2.0382281003714087E-2</c:v>
                </c:pt>
                <c:pt idx="189">
                  <c:v>-1.9974107638246696E-2</c:v>
                </c:pt>
                <c:pt idx="190">
                  <c:v>-9.3413851670127723E-3</c:v>
                </c:pt>
                <c:pt idx="191">
                  <c:v>-2.885989141823031E-2</c:v>
                </c:pt>
                <c:pt idx="192">
                  <c:v>1.6182816790898391E-2</c:v>
                </c:pt>
                <c:pt idx="193">
                  <c:v>5.5593089470128421E-2</c:v>
                </c:pt>
                <c:pt idx="194">
                  <c:v>1.6640760720489922E-2</c:v>
                </c:pt>
                <c:pt idx="195">
                  <c:v>4.2000179872290655E-2</c:v>
                </c:pt>
                <c:pt idx="196">
                  <c:v>2.5720697393405878E-2</c:v>
                </c:pt>
                <c:pt idx="197">
                  <c:v>-1.9606193200942479E-2</c:v>
                </c:pt>
                <c:pt idx="198">
                  <c:v>-3.2615226160845889E-3</c:v>
                </c:pt>
                <c:pt idx="199">
                  <c:v>5.2527340049944193E-2</c:v>
                </c:pt>
                <c:pt idx="200">
                  <c:v>1.2271946330686401E-3</c:v>
                </c:pt>
                <c:pt idx="201">
                  <c:v>2.6148063409054956E-3</c:v>
                </c:pt>
                <c:pt idx="202">
                  <c:v>1.1491442542787222E-2</c:v>
                </c:pt>
                <c:pt idx="203">
                  <c:v>3.9481105470953182E-3</c:v>
                </c:pt>
                <c:pt idx="204">
                  <c:v>1.1878009630818642E-2</c:v>
                </c:pt>
                <c:pt idx="205">
                  <c:v>-1.5862944162436943E-3</c:v>
                </c:pt>
                <c:pt idx="206">
                  <c:v>1.8033047346679432E-2</c:v>
                </c:pt>
                <c:pt idx="207">
                  <c:v>-9.2079594225517036E-3</c:v>
                </c:pt>
                <c:pt idx="208">
                  <c:v>1.8114515239819884E-3</c:v>
                </c:pt>
                <c:pt idx="209">
                  <c:v>2.7358490566037785E-2</c:v>
                </c:pt>
                <c:pt idx="210">
                  <c:v>5.2800734618916323E-3</c:v>
                </c:pt>
                <c:pt idx="211">
                  <c:v>6.089670396589586E-4</c:v>
                </c:pt>
                <c:pt idx="212">
                  <c:v>-1.3008748573602014E-2</c:v>
                </c:pt>
                <c:pt idx="213">
                  <c:v>4.1159241560043247E-2</c:v>
                </c:pt>
                <c:pt idx="214">
                  <c:v>1.6286644951140072E-3</c:v>
                </c:pt>
                <c:pt idx="215">
                  <c:v>-1.027346637102744E-2</c:v>
                </c:pt>
                <c:pt idx="216">
                  <c:v>-7.2436711223956562E-3</c:v>
                </c:pt>
                <c:pt idx="217">
                  <c:v>1.353994283135318E-3</c:v>
                </c:pt>
                <c:pt idx="218">
                  <c:v>-4.3569711538462563E-3</c:v>
                </c:pt>
                <c:pt idx="219">
                  <c:v>9.8083597404559075E-3</c:v>
                </c:pt>
                <c:pt idx="220">
                  <c:v>-5.902570233114135E-3</c:v>
                </c:pt>
                <c:pt idx="221">
                  <c:v>1.4956783164223886E-2</c:v>
                </c:pt>
                <c:pt idx="222">
                  <c:v>1.0663507109004655E-2</c:v>
                </c:pt>
                <c:pt idx="223">
                  <c:v>1.9050410316532318E-3</c:v>
                </c:pt>
                <c:pt idx="224">
                  <c:v>-1.7478426210326248E-2</c:v>
                </c:pt>
                <c:pt idx="225">
                  <c:v>1.6449572013397917E-2</c:v>
                </c:pt>
                <c:pt idx="226">
                  <c:v>1.1862917398945516E-2</c:v>
                </c:pt>
                <c:pt idx="227">
                  <c:v>-1.4039658416558076E-2</c:v>
                </c:pt>
                <c:pt idx="228">
                  <c:v>-7.9271873165004392E-3</c:v>
                </c:pt>
                <c:pt idx="229">
                  <c:v>-2.8040840485350604E-2</c:v>
                </c:pt>
                <c:pt idx="230">
                  <c:v>1.6746593590621917E-3</c:v>
                </c:pt>
                <c:pt idx="231">
                  <c:v>-6.839425488259776E-4</c:v>
                </c:pt>
                <c:pt idx="232">
                  <c:v>1.0494296577946649E-2</c:v>
                </c:pt>
                <c:pt idx="233">
                  <c:v>-5.4184226369656807E-3</c:v>
                </c:pt>
                <c:pt idx="234">
                  <c:v>1.5511501210653922E-2</c:v>
                </c:pt>
                <c:pt idx="235">
                  <c:v>-9.686312495342797E-4</c:v>
                </c:pt>
                <c:pt idx="236">
                  <c:v>-4.9970167064440352E-3</c:v>
                </c:pt>
                <c:pt idx="237">
                  <c:v>-2.4810733828048881E-2</c:v>
                </c:pt>
                <c:pt idx="238">
                  <c:v>-6.2259800153727785E-3</c:v>
                </c:pt>
                <c:pt idx="239">
                  <c:v>5.9556036816459379E-3</c:v>
                </c:pt>
                <c:pt idx="240">
                  <c:v>4.843918191603791E-3</c:v>
                </c:pt>
                <c:pt idx="241">
                  <c:v>1.12479914301018E-2</c:v>
                </c:pt>
                <c:pt idx="242">
                  <c:v>-1.1349878934624691E-2</c:v>
                </c:pt>
                <c:pt idx="243">
                  <c:v>4.7451400581661751E-3</c:v>
                </c:pt>
                <c:pt idx="244">
                  <c:v>3.503960999390765E-3</c:v>
                </c:pt>
                <c:pt idx="245">
                  <c:v>5.4653104599968749E-3</c:v>
                </c:pt>
                <c:pt idx="246">
                  <c:v>5.7375811565754109E-3</c:v>
                </c:pt>
                <c:pt idx="247">
                  <c:v>6.6056147725566117E-3</c:v>
                </c:pt>
                <c:pt idx="248">
                  <c:v>7.6062639821030675E-3</c:v>
                </c:pt>
                <c:pt idx="249">
                  <c:v>9.3250444049732817E-3</c:v>
                </c:pt>
                <c:pt idx="250">
                  <c:v>-7.55242704208825E-3</c:v>
                </c:pt>
                <c:pt idx="251">
                  <c:v>1.9135574436645708E-2</c:v>
                </c:pt>
                <c:pt idx="252">
                  <c:v>-4.1322314049586639E-3</c:v>
                </c:pt>
                <c:pt idx="253">
                  <c:v>8.9539200698842691E-3</c:v>
                </c:pt>
                <c:pt idx="254">
                  <c:v>7.4314574314573445E-3</c:v>
                </c:pt>
                <c:pt idx="255">
                  <c:v>-1.0026498603451506E-3</c:v>
                </c:pt>
                <c:pt idx="256">
                  <c:v>2.5234783855473397E-2</c:v>
                </c:pt>
                <c:pt idx="257">
                  <c:v>-1.5453464792671734E-2</c:v>
                </c:pt>
                <c:pt idx="258">
                  <c:v>-3.0042613636363735E-2</c:v>
                </c:pt>
                <c:pt idx="259">
                  <c:v>-1.3326499231163469E-2</c:v>
                </c:pt>
                <c:pt idx="260">
                  <c:v>2.4489795918367641E-3</c:v>
                </c:pt>
                <c:pt idx="261">
                  <c:v>1.6212614746816678E-2</c:v>
                </c:pt>
                <c:pt idx="262">
                  <c:v>8.5961972754424743E-3</c:v>
                </c:pt>
                <c:pt idx="263">
                  <c:v>4.8392921632358643E-3</c:v>
                </c:pt>
                <c:pt idx="264">
                  <c:v>6.1817136285220453E-3</c:v>
                </c:pt>
                <c:pt idx="265">
                  <c:v>2.4289184169168365E-3</c:v>
                </c:pt>
                <c:pt idx="266">
                  <c:v>-8.4806157354617717E-3</c:v>
                </c:pt>
                <c:pt idx="267">
                  <c:v>5.96564364263652E-3</c:v>
                </c:pt>
                <c:pt idx="268">
                  <c:v>-2.6436124607031042E-3</c:v>
                </c:pt>
                <c:pt idx="269">
                  <c:v>-4.6564940181962333E-3</c:v>
                </c:pt>
                <c:pt idx="270">
                  <c:v>1.5474305455592363E-2</c:v>
                </c:pt>
                <c:pt idx="271">
                  <c:v>5.8827698632077929E-3</c:v>
                </c:pt>
                <c:pt idx="272">
                  <c:v>1.2189966178128619E-2</c:v>
                </c:pt>
                <c:pt idx="273">
                  <c:v>-7.0309780717021653E-3</c:v>
                </c:pt>
                <c:pt idx="274">
                  <c:v>-1.5563656758272537E-2</c:v>
                </c:pt>
                <c:pt idx="275">
                  <c:v>4.4153254522147911E-3</c:v>
                </c:pt>
                <c:pt idx="276">
                  <c:v>1.0847986386840702E-2</c:v>
                </c:pt>
                <c:pt idx="277">
                  <c:v>4.4188819527248846E-3</c:v>
                </c:pt>
                <c:pt idx="278">
                  <c:v>4.1899441340784715E-3</c:v>
                </c:pt>
                <c:pt idx="279">
                  <c:v>-1.3769123783032078E-2</c:v>
                </c:pt>
                <c:pt idx="280">
                  <c:v>2.9615004935834577E-3</c:v>
                </c:pt>
                <c:pt idx="281">
                  <c:v>-1.8349268841394872E-2</c:v>
                </c:pt>
                <c:pt idx="282">
                  <c:v>-7.6631096469239601E-3</c:v>
                </c:pt>
                <c:pt idx="283">
                  <c:v>8.0109699769053133E-3</c:v>
                </c:pt>
                <c:pt idx="284">
                  <c:v>9.0212644089642247E-3</c:v>
                </c:pt>
                <c:pt idx="285">
                  <c:v>8.7277371744836074E-3</c:v>
                </c:pt>
                <c:pt idx="286">
                  <c:v>8.3708497467642751E-3</c:v>
                </c:pt>
                <c:pt idx="287">
                  <c:v>-5.5807464248341931E-3</c:v>
                </c:pt>
                <c:pt idx="288">
                  <c:v>-1.0382321992283505E-2</c:v>
                </c:pt>
                <c:pt idx="289">
                  <c:v>1.8359679591692046E-2</c:v>
                </c:pt>
                <c:pt idx="290">
                  <c:v>-5.8471390783795263E-3</c:v>
                </c:pt>
                <c:pt idx="291">
                  <c:v>-2.9407645987956754E-2</c:v>
                </c:pt>
                <c:pt idx="292">
                  <c:v>-5.915452315683134E-3</c:v>
                </c:pt>
                <c:pt idx="293">
                  <c:v>-5.4136429608127812E-2</c:v>
                </c:pt>
                <c:pt idx="294">
                  <c:v>2.5395120454196674E-2</c:v>
                </c:pt>
                <c:pt idx="295">
                  <c:v>-1.7957351290684653E-2</c:v>
                </c:pt>
                <c:pt idx="296">
                  <c:v>2.5676190476190408E-2</c:v>
                </c:pt>
                <c:pt idx="297">
                  <c:v>-4.7244094488189115E-2</c:v>
                </c:pt>
                <c:pt idx="298">
                  <c:v>1.9413690940277561E-2</c:v>
                </c:pt>
                <c:pt idx="299">
                  <c:v>-3.7782026768642396E-2</c:v>
                </c:pt>
                <c:pt idx="300">
                  <c:v>1.0571496701375027E-2</c:v>
                </c:pt>
                <c:pt idx="301">
                  <c:v>2.6820827434324457E-2</c:v>
                </c:pt>
                <c:pt idx="302">
                  <c:v>-2.5813864419762522E-2</c:v>
                </c:pt>
                <c:pt idx="303">
                  <c:v>-2.6733763170310176E-3</c:v>
                </c:pt>
                <c:pt idx="304">
                  <c:v>-1.5216020182907686E-2</c:v>
                </c:pt>
                <c:pt idx="305">
                  <c:v>2.8660635657673517E-2</c:v>
                </c:pt>
                <c:pt idx="306">
                  <c:v>3.0352556619190896E-3</c:v>
                </c:pt>
                <c:pt idx="307">
                  <c:v>2.0173805090004659E-3</c:v>
                </c:pt>
                <c:pt idx="308">
                  <c:v>-3.0199783181042994E-3</c:v>
                </c:pt>
                <c:pt idx="309">
                  <c:v>1.2116504854368992E-2</c:v>
                </c:pt>
                <c:pt idx="310">
                  <c:v>-1.151101220167372E-3</c:v>
                </c:pt>
                <c:pt idx="311">
                  <c:v>-1.3368162261831684E-2</c:v>
                </c:pt>
                <c:pt idx="312">
                  <c:v>-6.307428749415922E-3</c:v>
                </c:pt>
                <c:pt idx="313">
                  <c:v>-1.0970927043335577E-3</c:v>
                </c:pt>
                <c:pt idx="314">
                  <c:v>3.2948929159801743E-3</c:v>
                </c:pt>
                <c:pt idx="315">
                  <c:v>4.9261083743843415E-3</c:v>
                </c:pt>
                <c:pt idx="316">
                  <c:v>-1.5561780267669967E-4</c:v>
                </c:pt>
                <c:pt idx="317">
                  <c:v>3.8132295719845999E-3</c:v>
                </c:pt>
                <c:pt idx="318">
                  <c:v>7.5509729436390227E-2</c:v>
                </c:pt>
                <c:pt idx="319">
                  <c:v>7.9290708570607382E-3</c:v>
                </c:pt>
                <c:pt idx="320">
                  <c:v>1.1227919616677351E-2</c:v>
                </c:pt>
                <c:pt idx="321">
                  <c:v>-1.2729844413013058E-3</c:v>
                </c:pt>
                <c:pt idx="322">
                  <c:v>-2.9032714912902158E-3</c:v>
                </c:pt>
                <c:pt idx="323">
                  <c:v>-1.9174774518856408E-3</c:v>
                </c:pt>
                <c:pt idx="324">
                  <c:v>1.3519282766472074E-3</c:v>
                </c:pt>
                <c:pt idx="325">
                  <c:v>-2.1743764655723696E-2</c:v>
                </c:pt>
                <c:pt idx="326">
                  <c:v>-1.7723541802861953E-2</c:v>
                </c:pt>
                <c:pt idx="327">
                  <c:v>1.3458552096428544E-2</c:v>
                </c:pt>
                <c:pt idx="328">
                  <c:v>8.6829624224735724E-3</c:v>
                </c:pt>
                <c:pt idx="329">
                  <c:v>2.1412037037036979E-2</c:v>
                </c:pt>
                <c:pt idx="330">
                  <c:v>-1.6147308781869651E-2</c:v>
                </c:pt>
                <c:pt idx="331">
                  <c:v>-2.1163259429887726E-2</c:v>
                </c:pt>
                <c:pt idx="332">
                  <c:v>-1.3678482129724889E-2</c:v>
                </c:pt>
                <c:pt idx="333">
                  <c:v>1.9534745004473608E-2</c:v>
                </c:pt>
                <c:pt idx="334">
                  <c:v>2.4133391838525586E-3</c:v>
                </c:pt>
                <c:pt idx="335">
                  <c:v>-4.8150579995622778E-3</c:v>
                </c:pt>
                <c:pt idx="336">
                  <c:v>5.1315885932101679E-4</c:v>
                </c:pt>
                <c:pt idx="337">
                  <c:v>-3.1506447831182172E-3</c:v>
                </c:pt>
                <c:pt idx="338">
                  <c:v>-1.4332965821389321E-2</c:v>
                </c:pt>
                <c:pt idx="339">
                  <c:v>8.4265473527218582E-3</c:v>
                </c:pt>
                <c:pt idx="340">
                  <c:v>-6.7292760482141611E-3</c:v>
                </c:pt>
                <c:pt idx="341">
                  <c:v>3.0747468731387784E-2</c:v>
                </c:pt>
                <c:pt idx="342">
                  <c:v>7.5839653304443644E-3</c:v>
                </c:pt>
                <c:pt idx="343">
                  <c:v>-2.2939068100358284E-3</c:v>
                </c:pt>
                <c:pt idx="344">
                  <c:v>-8.2626814197442888E-3</c:v>
                </c:pt>
                <c:pt idx="345">
                  <c:v>-1.0432514670723703E-2</c:v>
                </c:pt>
                <c:pt idx="346">
                  <c:v>-9.1514752178051273E-3</c:v>
                </c:pt>
                <c:pt idx="347">
                  <c:v>2.4383035318455981E-3</c:v>
                </c:pt>
                <c:pt idx="348">
                  <c:v>9.3609493624235984E-3</c:v>
                </c:pt>
                <c:pt idx="349">
                  <c:v>3.7972834818169598E-3</c:v>
                </c:pt>
                <c:pt idx="350">
                  <c:v>-1.2730976284009876E-2</c:v>
                </c:pt>
                <c:pt idx="351">
                  <c:v>1.3779382506815985E-2</c:v>
                </c:pt>
                <c:pt idx="352">
                  <c:v>2.100596016862899E-2</c:v>
                </c:pt>
                <c:pt idx="353">
                  <c:v>-9.8241617427208272E-3</c:v>
                </c:pt>
                <c:pt idx="354">
                  <c:v>1.7973973686102873E-3</c:v>
                </c:pt>
                <c:pt idx="355">
                  <c:v>9.6885316492032469E-3</c:v>
                </c:pt>
                <c:pt idx="356">
                  <c:v>2.8431302864451169E-4</c:v>
                </c:pt>
                <c:pt idx="357">
                  <c:v>1.9896255240532401E-3</c:v>
                </c:pt>
                <c:pt idx="358">
                  <c:v>-7.0916956244171381E-5</c:v>
                </c:pt>
                <c:pt idx="359">
                  <c:v>7.2340425531915997E-3</c:v>
                </c:pt>
                <c:pt idx="360">
                  <c:v>-3.7318687508801629E-3</c:v>
                </c:pt>
                <c:pt idx="361">
                  <c:v>1.1308219662166996E-2</c:v>
                </c:pt>
                <c:pt idx="362">
                  <c:v>1.1880634565657466E-3</c:v>
                </c:pt>
                <c:pt idx="363">
                  <c:v>-5.0956303224904964E-3</c:v>
                </c:pt>
                <c:pt idx="364">
                  <c:v>-1.4733740265208128E-3</c:v>
                </c:pt>
                <c:pt idx="365">
                  <c:v>-1.9252388982574309E-2</c:v>
                </c:pt>
                <c:pt idx="366">
                  <c:v>-5.2299756412094167E-3</c:v>
                </c:pt>
                <c:pt idx="367">
                  <c:v>2.4486856319769768E-3</c:v>
                </c:pt>
                <c:pt idx="368">
                  <c:v>7.1844241684049237E-5</c:v>
                </c:pt>
                <c:pt idx="369">
                  <c:v>-4.3821839080459002E-3</c:v>
                </c:pt>
                <c:pt idx="370">
                  <c:v>3.4923154628761166E-2</c:v>
                </c:pt>
                <c:pt idx="371">
                  <c:v>1.4013804643379979E-2</c:v>
                </c:pt>
                <c:pt idx="372">
                  <c:v>8.0445544554457182E-3</c:v>
                </c:pt>
                <c:pt idx="373">
                  <c:v>-1.3437009753768714E-2</c:v>
                </c:pt>
                <c:pt idx="374">
                  <c:v>-9.8866150442475931E-3</c:v>
                </c:pt>
                <c:pt idx="375">
                  <c:v>7.8905104392150704E-3</c:v>
                </c:pt>
                <c:pt idx="376">
                  <c:v>5.6117500346404281E-3</c:v>
                </c:pt>
                <c:pt idx="377">
                  <c:v>1.5638994143988949E-2</c:v>
                </c:pt>
                <c:pt idx="378">
                  <c:v>4.9518382851716503E-3</c:v>
                </c:pt>
                <c:pt idx="379">
                  <c:v>4.8599392507593375E-3</c:v>
                </c:pt>
                <c:pt idx="380">
                  <c:v>6.0455430912877972E-3</c:v>
                </c:pt>
                <c:pt idx="381">
                  <c:v>2.4103625559190656E-2</c:v>
                </c:pt>
                <c:pt idx="382">
                  <c:v>1.8255313600208378E-3</c:v>
                </c:pt>
                <c:pt idx="383">
                  <c:v>3.8396459716256715E-3</c:v>
                </c:pt>
                <c:pt idx="384">
                  <c:v>1.2317666126418159E-2</c:v>
                </c:pt>
                <c:pt idx="385">
                  <c:v>-7.684918347742653E-3</c:v>
                </c:pt>
                <c:pt idx="386">
                  <c:v>1.9683768957728276E-2</c:v>
                </c:pt>
                <c:pt idx="387">
                  <c:v>-7.4683544303797422E-3</c:v>
                </c:pt>
                <c:pt idx="388">
                  <c:v>5.9941334013517977E-3</c:v>
                </c:pt>
                <c:pt idx="389">
                  <c:v>-1.1029411764705732E-2</c:v>
                </c:pt>
                <c:pt idx="390">
                  <c:v>5.704396872195705E-3</c:v>
                </c:pt>
                <c:pt idx="391">
                  <c:v>6.6917341150978249E-3</c:v>
                </c:pt>
                <c:pt idx="392">
                  <c:v>-4.9379589769561472E-3</c:v>
                </c:pt>
                <c:pt idx="393">
                  <c:v>-1.1324596004580689E-2</c:v>
                </c:pt>
                <c:pt idx="394">
                  <c:v>6.1132561132559715E-3</c:v>
                </c:pt>
                <c:pt idx="395">
                  <c:v>-2.1106491845217512E-3</c:v>
                </c:pt>
                <c:pt idx="396">
                  <c:v>4.7429816690167659E-3</c:v>
                </c:pt>
                <c:pt idx="397">
                  <c:v>-5.6136769584077539E-3</c:v>
                </c:pt>
                <c:pt idx="398">
                  <c:v>-1.3407749550936598E-2</c:v>
                </c:pt>
                <c:pt idx="399">
                  <c:v>-1.4955458742440531E-3</c:v>
                </c:pt>
                <c:pt idx="400">
                  <c:v>5.7957801510808427E-3</c:v>
                </c:pt>
                <c:pt idx="401">
                  <c:v>2.0718679184204003E-3</c:v>
                </c:pt>
                <c:pt idx="402">
                  <c:v>-2.5457129934741807E-2</c:v>
                </c:pt>
                <c:pt idx="403">
                  <c:v>-4.2431876947557345E-3</c:v>
                </c:pt>
                <c:pt idx="404">
                  <c:v>-1.0386843331779749E-2</c:v>
                </c:pt>
                <c:pt idx="405">
                  <c:v>2.2875597120366464E-3</c:v>
                </c:pt>
                <c:pt idx="406">
                  <c:v>3.4235080888769254E-3</c:v>
                </c:pt>
                <c:pt idx="407">
                  <c:v>-2.0738560342520751E-2</c:v>
                </c:pt>
                <c:pt idx="408">
                  <c:v>6.7632190189916841E-3</c:v>
                </c:pt>
                <c:pt idx="409">
                  <c:v>-9.4998982153771117E-4</c:v>
                </c:pt>
                <c:pt idx="410">
                  <c:v>-1.2225769204644577E-3</c:v>
                </c:pt>
                <c:pt idx="411">
                  <c:v>3.4682080924854919E-3</c:v>
                </c:pt>
                <c:pt idx="412">
                  <c:v>8.132285172133269E-3</c:v>
                </c:pt>
                <c:pt idx="413">
                  <c:v>-4.0333422963161336E-3</c:v>
                </c:pt>
                <c:pt idx="414">
                  <c:v>-1.2351511879049593E-2</c:v>
                </c:pt>
                <c:pt idx="415">
                  <c:v>3.3485956399916805E-3</c:v>
                </c:pt>
                <c:pt idx="416">
                  <c:v>-1.1033919084593391E-2</c:v>
                </c:pt>
                <c:pt idx="417">
                  <c:v>-1.6528925619833101E-3</c:v>
                </c:pt>
                <c:pt idx="418">
                  <c:v>-8.554083885209729E-3</c:v>
                </c:pt>
                <c:pt idx="419">
                  <c:v>7.6537712218205378E-4</c:v>
                </c:pt>
                <c:pt idx="420">
                  <c:v>4.3801710352500134E-3</c:v>
                </c:pt>
                <c:pt idx="421">
                  <c:v>1.3013983109511296E-2</c:v>
                </c:pt>
                <c:pt idx="422">
                  <c:v>4.7833811671438298E-4</c:v>
                </c:pt>
                <c:pt idx="423">
                  <c:v>1.9397582132367974E-2</c:v>
                </c:pt>
                <c:pt idx="424">
                  <c:v>-2.9480737018425796E-3</c:v>
                </c:pt>
                <c:pt idx="425">
                  <c:v>2.0831933337812636E-3</c:v>
                </c:pt>
                <c:pt idx="426">
                  <c:v>-1.2741416309012266E-3</c:v>
                </c:pt>
                <c:pt idx="427">
                  <c:v>-4.230175250117485E-3</c:v>
                </c:pt>
                <c:pt idx="428">
                  <c:v>-7.8219824679705008E-3</c:v>
                </c:pt>
                <c:pt idx="429">
                  <c:v>-9.5827103438901329E-3</c:v>
                </c:pt>
                <c:pt idx="430">
                  <c:v>4.9406436560763822E-3</c:v>
                </c:pt>
                <c:pt idx="431">
                  <c:v>-1.0378968931375798E-2</c:v>
                </c:pt>
                <c:pt idx="432">
                  <c:v>5.8649002966948416E-3</c:v>
                </c:pt>
                <c:pt idx="433">
                  <c:v>1.2415969268761096E-2</c:v>
                </c:pt>
                <c:pt idx="434">
                  <c:v>-1.7413103868825774E-2</c:v>
                </c:pt>
                <c:pt idx="435">
                  <c:v>-8.6195007585160299E-3</c:v>
                </c:pt>
                <c:pt idx="436">
                  <c:v>-7.3728872504694731E-3</c:v>
                </c:pt>
                <c:pt idx="437">
                  <c:v>4.4846191577323502E-3</c:v>
                </c:pt>
                <c:pt idx="438">
                  <c:v>-3.1391698639692267E-3</c:v>
                </c:pt>
                <c:pt idx="439">
                  <c:v>1.5395381385584272E-2</c:v>
                </c:pt>
                <c:pt idx="440">
                  <c:v>-2.2742935906270301E-3</c:v>
                </c:pt>
                <c:pt idx="441">
                  <c:v>6.0786074462941819E-3</c:v>
                </c:pt>
                <c:pt idx="442">
                  <c:v>3.43288705801581E-3</c:v>
                </c:pt>
                <c:pt idx="443">
                  <c:v>-2.3263770099213321E-3</c:v>
                </c:pt>
                <c:pt idx="444">
                  <c:v>1.5019545984500393E-2</c:v>
                </c:pt>
                <c:pt idx="445">
                  <c:v>-1.0135135135135309E-3</c:v>
                </c:pt>
                <c:pt idx="446">
                  <c:v>-2.1643557659789536E-3</c:v>
                </c:pt>
                <c:pt idx="447">
                  <c:v>-1.0980817460855441E-2</c:v>
                </c:pt>
                <c:pt idx="448">
                  <c:v>-4.249194709067261E-3</c:v>
                </c:pt>
                <c:pt idx="449">
                  <c:v>-1.6105719595292167E-2</c:v>
                </c:pt>
                <c:pt idx="450">
                  <c:v>-1.364113326337868E-2</c:v>
                </c:pt>
                <c:pt idx="451">
                  <c:v>1.2056737588652666E-3</c:v>
                </c:pt>
                <c:pt idx="452">
                  <c:v>-5.4544166607635169E-3</c:v>
                </c:pt>
                <c:pt idx="453">
                  <c:v>2.564102564102555E-3</c:v>
                </c:pt>
                <c:pt idx="454">
                  <c:v>-3.6018755328218188E-2</c:v>
                </c:pt>
                <c:pt idx="455">
                  <c:v>1.2749649937357166E-2</c:v>
                </c:pt>
                <c:pt idx="456">
                  <c:v>1.1934216271285214E-2</c:v>
                </c:pt>
                <c:pt idx="457">
                  <c:v>-8.6293686178628981E-4</c:v>
                </c:pt>
                <c:pt idx="458">
                  <c:v>1.7849431409241223E-2</c:v>
                </c:pt>
                <c:pt idx="459">
                  <c:v>1.1172394286522502E-2</c:v>
                </c:pt>
                <c:pt idx="460">
                  <c:v>7.5524475524475498E-3</c:v>
                </c:pt>
                <c:pt idx="461">
                  <c:v>-4.8584119933381409E-4</c:v>
                </c:pt>
                <c:pt idx="462">
                  <c:v>4.9302131796402637E-3</c:v>
                </c:pt>
                <c:pt idx="463">
                  <c:v>-2.9712548369265068E-3</c:v>
                </c:pt>
                <c:pt idx="464">
                  <c:v>1.4831242636357489E-2</c:v>
                </c:pt>
                <c:pt idx="465">
                  <c:v>-4.4389810831114707E-3</c:v>
                </c:pt>
                <c:pt idx="466">
                  <c:v>1.8246673069008068E-2</c:v>
                </c:pt>
                <c:pt idx="467">
                  <c:v>8.7577472379414267E-3</c:v>
                </c:pt>
                <c:pt idx="468">
                  <c:v>1.141979431013751E-2</c:v>
                </c:pt>
                <c:pt idx="469">
                  <c:v>9.0458897325851328E-3</c:v>
                </c:pt>
                <c:pt idx="470">
                  <c:v>3.0755136762203872E-3</c:v>
                </c:pt>
                <c:pt idx="471">
                  <c:v>-2.0875464805271138E-3</c:v>
                </c:pt>
                <c:pt idx="472">
                  <c:v>2.35340262796635E-3</c:v>
                </c:pt>
                <c:pt idx="473">
                  <c:v>1.3695949911953775E-3</c:v>
                </c:pt>
                <c:pt idx="474">
                  <c:v>-2.2795362771915739E-3</c:v>
                </c:pt>
                <c:pt idx="475">
                  <c:v>2.2847444350153623E-3</c:v>
                </c:pt>
                <c:pt idx="476">
                  <c:v>5.0801094177412853E-3</c:v>
                </c:pt>
                <c:pt idx="477">
                  <c:v>1.1404872991187309E-2</c:v>
                </c:pt>
                <c:pt idx="478">
                  <c:v>4.8692977960020922E-3</c:v>
                </c:pt>
                <c:pt idx="479">
                  <c:v>7.3323131854119428E-3</c:v>
                </c:pt>
                <c:pt idx="480">
                  <c:v>-1.265902905247529E-4</c:v>
                </c:pt>
                <c:pt idx="481">
                  <c:v>-1.0508324365385846E-2</c:v>
                </c:pt>
                <c:pt idx="482">
                  <c:v>3.0708208048109142E-3</c:v>
                </c:pt>
                <c:pt idx="483">
                  <c:v>1.1033866955800775E-2</c:v>
                </c:pt>
                <c:pt idx="484">
                  <c:v>3.6588443098661827E-3</c:v>
                </c:pt>
                <c:pt idx="485">
                  <c:v>8.9252042740415316E-3</c:v>
                </c:pt>
                <c:pt idx="486">
                  <c:v>3.3640667829553106E-3</c:v>
                </c:pt>
                <c:pt idx="487">
                  <c:v>1.8191978144790788E-2</c:v>
                </c:pt>
                <c:pt idx="488">
                  <c:v>7.561436672967714E-3</c:v>
                </c:pt>
                <c:pt idx="489">
                  <c:v>6.0521697028383947E-3</c:v>
                </c:pt>
                <c:pt idx="490">
                  <c:v>1.3354990073993767E-2</c:v>
                </c:pt>
                <c:pt idx="491">
                  <c:v>-1.1279311368358469E-2</c:v>
                </c:pt>
                <c:pt idx="492">
                  <c:v>5.7039927949564806E-3</c:v>
                </c:pt>
                <c:pt idx="493">
                  <c:v>-5.9701492537311829E-4</c:v>
                </c:pt>
                <c:pt idx="494">
                  <c:v>5.9139784946236063E-3</c:v>
                </c:pt>
                <c:pt idx="495">
                  <c:v>5.997980877724407E-3</c:v>
                </c:pt>
                <c:pt idx="496">
                  <c:v>5.312868949232552E-3</c:v>
                </c:pt>
                <c:pt idx="497">
                  <c:v>-1.1743981209630938E-3</c:v>
                </c:pt>
                <c:pt idx="498">
                  <c:v>1.1640211640211673E-2</c:v>
                </c:pt>
                <c:pt idx="499">
                  <c:v>-4.3584379358437841E-3</c:v>
                </c:pt>
                <c:pt idx="500">
                  <c:v>4.6693515438023248E-4</c:v>
                </c:pt>
                <c:pt idx="501">
                  <c:v>5.01721019777146E-3</c:v>
                </c:pt>
                <c:pt idx="502">
                  <c:v>-1.4512103093979878E-3</c:v>
                </c:pt>
                <c:pt idx="503">
                  <c:v>-7.9060574351820234E-3</c:v>
                </c:pt>
                <c:pt idx="504">
                  <c:v>2.1094574006796929E-3</c:v>
                </c:pt>
                <c:pt idx="505">
                  <c:v>-4.2100339141620813E-3</c:v>
                </c:pt>
                <c:pt idx="506">
                  <c:v>-7.3399882560187812E-3</c:v>
                </c:pt>
                <c:pt idx="507">
                  <c:v>-6.2703342206448243E-3</c:v>
                </c:pt>
                <c:pt idx="508">
                  <c:v>-5.3574617536757962E-3</c:v>
                </c:pt>
                <c:pt idx="509">
                  <c:v>1.9749835418036987E-3</c:v>
                </c:pt>
                <c:pt idx="510">
                  <c:v>1.7261975869071966E-2</c:v>
                </c:pt>
                <c:pt idx="511">
                  <c:v>-1.1743291644646936E-3</c:v>
                </c:pt>
                <c:pt idx="512">
                  <c:v>-6.5839750749515646E-3</c:v>
                </c:pt>
                <c:pt idx="513">
                  <c:v>8.9354399668619688E-3</c:v>
                </c:pt>
                <c:pt idx="514">
                  <c:v>1.4310850439882783E-2</c:v>
                </c:pt>
                <c:pt idx="515">
                  <c:v>-3.8163524921938086E-3</c:v>
                </c:pt>
                <c:pt idx="516">
                  <c:v>2.612026932899969E-3</c:v>
                </c:pt>
                <c:pt idx="517">
                  <c:v>2.049441324610668E-2</c:v>
                </c:pt>
                <c:pt idx="518">
                  <c:v>-1.0835649855335583E-2</c:v>
                </c:pt>
                <c:pt idx="519">
                  <c:v>-3.613214039917545E-3</c:v>
                </c:pt>
                <c:pt idx="520">
                  <c:v>5.7560582513094261E-3</c:v>
                </c:pt>
                <c:pt idx="521">
                  <c:v>-1.3163166027584383E-3</c:v>
                </c:pt>
                <c:pt idx="522">
                  <c:v>3.4383954154726393E-3</c:v>
                </c:pt>
                <c:pt idx="523">
                  <c:v>1.884637350085816E-3</c:v>
                </c:pt>
                <c:pt idx="524">
                  <c:v>-3.5911759676223731E-3</c:v>
                </c:pt>
                <c:pt idx="525">
                  <c:v>1.2013729977116139E-3</c:v>
                </c:pt>
                <c:pt idx="526">
                  <c:v>4.4568881778184188E-3</c:v>
                </c:pt>
                <c:pt idx="527">
                  <c:v>-8.7035667557882057E-3</c:v>
                </c:pt>
                <c:pt idx="528">
                  <c:v>1.0157236313554474E-2</c:v>
                </c:pt>
                <c:pt idx="529">
                  <c:v>2.1814463443731169E-2</c:v>
                </c:pt>
                <c:pt idx="530">
                  <c:v>-4.6700394729527472E-3</c:v>
                </c:pt>
                <c:pt idx="531">
                  <c:v>3.9099592247109349E-3</c:v>
                </c:pt>
                <c:pt idx="532">
                  <c:v>6.5097646469705062E-3</c:v>
                </c:pt>
                <c:pt idx="533">
                  <c:v>1.199557766721937E-2</c:v>
                </c:pt>
                <c:pt idx="534">
                  <c:v>5.0254001201726073E-3</c:v>
                </c:pt>
                <c:pt idx="535">
                  <c:v>-3.4240991358225337E-3</c:v>
                </c:pt>
                <c:pt idx="536">
                  <c:v>4.9083769633484486E-4</c:v>
                </c:pt>
                <c:pt idx="537">
                  <c:v>5.0695012264923012E-3</c:v>
                </c:pt>
                <c:pt idx="538">
                  <c:v>9.1116173120728838E-3</c:v>
                </c:pt>
                <c:pt idx="539">
                  <c:v>-4.1384499623777771E-3</c:v>
                </c:pt>
                <c:pt idx="540">
                  <c:v>7.5017540072319644E-3</c:v>
                </c:pt>
                <c:pt idx="541">
                  <c:v>1.0017141632740589E-2</c:v>
                </c:pt>
                <c:pt idx="542">
                  <c:v>5.1975603288252348E-3</c:v>
                </c:pt>
                <c:pt idx="543">
                  <c:v>-8.7585078879333089E-3</c:v>
                </c:pt>
                <c:pt idx="544">
                  <c:v>1.8629903656783853E-3</c:v>
                </c:pt>
                <c:pt idx="545">
                  <c:v>3.7190521729879578E-4</c:v>
                </c:pt>
                <c:pt idx="546">
                  <c:v>8.2319825800627466E-3</c:v>
                </c:pt>
                <c:pt idx="547">
                  <c:v>8.1120943952801561E-3</c:v>
                </c:pt>
                <c:pt idx="548">
                  <c:v>-1.7817953809175391E-2</c:v>
                </c:pt>
                <c:pt idx="549">
                  <c:v>1.239559504176202E-2</c:v>
                </c:pt>
                <c:pt idx="550">
                  <c:v>1.2401471361008776E-2</c:v>
                </c:pt>
                <c:pt idx="551">
                  <c:v>5.8652548531090698E-3</c:v>
                </c:pt>
                <c:pt idx="552">
                  <c:v>1.3106971463956008E-2</c:v>
                </c:pt>
                <c:pt idx="553">
                  <c:v>1.3905159680130286E-2</c:v>
                </c:pt>
                <c:pt idx="554">
                  <c:v>-1.2257610770621929E-2</c:v>
                </c:pt>
                <c:pt idx="555">
                  <c:v>-9.1547146780592836E-3</c:v>
                </c:pt>
                <c:pt idx="556">
                  <c:v>4.6709783389795589E-3</c:v>
                </c:pt>
                <c:pt idx="557">
                  <c:v>1.9363408777397506E-2</c:v>
                </c:pt>
                <c:pt idx="558">
                  <c:v>3.9093825180434028E-3</c:v>
                </c:pt>
                <c:pt idx="559">
                  <c:v>-6.7898152770844433E-3</c:v>
                </c:pt>
                <c:pt idx="560">
                  <c:v>-4.0213129586796903E-4</c:v>
                </c:pt>
                <c:pt idx="561">
                  <c:v>-2.8160514935130498E-3</c:v>
                </c:pt>
                <c:pt idx="562">
                  <c:v>-1.3363590519415047E-2</c:v>
                </c:pt>
                <c:pt idx="563">
                  <c:v>9.2001022233578755E-3</c:v>
                </c:pt>
                <c:pt idx="564">
                  <c:v>5.2165105089896358E-3</c:v>
                </c:pt>
                <c:pt idx="565">
                  <c:v>-6.7009270455460346E-3</c:v>
                </c:pt>
                <c:pt idx="566">
                  <c:v>-8.5214303829571625E-3</c:v>
                </c:pt>
                <c:pt idx="567">
                  <c:v>-2.0463498235023803E-4</c:v>
                </c:pt>
                <c:pt idx="568">
                  <c:v>-6.4677889781507569E-2</c:v>
                </c:pt>
                <c:pt idx="569">
                  <c:v>5.4707587942437463E-4</c:v>
                </c:pt>
                <c:pt idx="570">
                  <c:v>-1.1427634096998096E-2</c:v>
                </c:pt>
                <c:pt idx="571">
                  <c:v>-3.9823008849557695E-3</c:v>
                </c:pt>
                <c:pt idx="572">
                  <c:v>6.4971123944912446E-3</c:v>
                </c:pt>
                <c:pt idx="573">
                  <c:v>2.5103448275862084E-2</c:v>
                </c:pt>
                <c:pt idx="574">
                  <c:v>1.9429494079655552E-2</c:v>
                </c:pt>
                <c:pt idx="575">
                  <c:v>1.4413177762525597E-2</c:v>
                </c:pt>
                <c:pt idx="576">
                  <c:v>4.8922660560009046E-3</c:v>
                </c:pt>
                <c:pt idx="577">
                  <c:v>1.5019680961259052E-3</c:v>
                </c:pt>
                <c:pt idx="578">
                  <c:v>6.2057196049036811E-4</c:v>
                </c:pt>
                <c:pt idx="579">
                  <c:v>-1.0853274071012109E-3</c:v>
                </c:pt>
                <c:pt idx="580">
                  <c:v>-7.9677152317880751E-3</c:v>
                </c:pt>
                <c:pt idx="581">
                  <c:v>6.2584750182548277E-4</c:v>
                </c:pt>
                <c:pt idx="582">
                  <c:v>-1.0424267695194889E-3</c:v>
                </c:pt>
                <c:pt idx="583">
                  <c:v>-6.0002087029114026E-3</c:v>
                </c:pt>
                <c:pt idx="584">
                  <c:v>7.8211117526638674E-3</c:v>
                </c:pt>
                <c:pt idx="585">
                  <c:v>-1.3020833333333703E-3</c:v>
                </c:pt>
                <c:pt idx="586">
                  <c:v>2.0338983050847581E-2</c:v>
                </c:pt>
                <c:pt idx="587">
                  <c:v>9.455660618451267E-3</c:v>
                </c:pt>
                <c:pt idx="588">
                  <c:v>6.4303797468354684E-3</c:v>
                </c:pt>
                <c:pt idx="589">
                  <c:v>-2.012376113096348E-4</c:v>
                </c:pt>
                <c:pt idx="590">
                  <c:v>1.3988829064560004E-2</c:v>
                </c:pt>
                <c:pt idx="591">
                  <c:v>2.9775197260681896E-3</c:v>
                </c:pt>
                <c:pt idx="592">
                  <c:v>1.7812082529315987E-3</c:v>
                </c:pt>
                <c:pt idx="593">
                  <c:v>1.1458487677186602E-2</c:v>
                </c:pt>
                <c:pt idx="594">
                  <c:v>-4.4972899067337146E-2</c:v>
                </c:pt>
                <c:pt idx="595">
                  <c:v>2.0145209121587015E-2</c:v>
                </c:pt>
                <c:pt idx="596">
                  <c:v>-6.0645549318364411E-3</c:v>
                </c:pt>
                <c:pt idx="597">
                  <c:v>-7.0092279764006893E-3</c:v>
                </c:pt>
                <c:pt idx="598">
                  <c:v>1.9246394474913719E-2</c:v>
                </c:pt>
                <c:pt idx="599">
                  <c:v>-6.0285984754123723E-3</c:v>
                </c:pt>
                <c:pt idx="600">
                  <c:v>-6.9674185463658445E-3</c:v>
                </c:pt>
                <c:pt idx="601">
                  <c:v>6.1581949422038207E-3</c:v>
                </c:pt>
                <c:pt idx="602">
                  <c:v>1.6555460793658661E-2</c:v>
                </c:pt>
                <c:pt idx="603">
                  <c:v>-3.9974337462369558E-3</c:v>
                </c:pt>
                <c:pt idx="604">
                  <c:v>-1.3180061440887902E-2</c:v>
                </c:pt>
                <c:pt idx="605">
                  <c:v>-9.5400682868046482E-3</c:v>
                </c:pt>
                <c:pt idx="606">
                  <c:v>-1.7743080198722172E-3</c:v>
                </c:pt>
                <c:pt idx="607">
                  <c:v>1.5438525214565013E-2</c:v>
                </c:pt>
                <c:pt idx="608">
                  <c:v>-1.7004251062764375E-3</c:v>
                </c:pt>
                <c:pt idx="609">
                  <c:v>-2.6301287510645754E-2</c:v>
                </c:pt>
                <c:pt idx="610">
                  <c:v>-1.4560609178843498E-2</c:v>
                </c:pt>
                <c:pt idx="611">
                  <c:v>1.1120973215684282E-2</c:v>
                </c:pt>
                <c:pt idx="612">
                  <c:v>6.1964267272540674E-4</c:v>
                </c:pt>
                <c:pt idx="613">
                  <c:v>6.1925895345236182E-3</c:v>
                </c:pt>
                <c:pt idx="614">
                  <c:v>1.036003692686438E-2</c:v>
                </c:pt>
                <c:pt idx="615">
                  <c:v>8.4771573604061068E-3</c:v>
                </c:pt>
                <c:pt idx="616">
                  <c:v>-1.1929330044797792E-2</c:v>
                </c:pt>
                <c:pt idx="617">
                  <c:v>1.3143148242485969E-2</c:v>
                </c:pt>
                <c:pt idx="618">
                  <c:v>-4.0728077232502491E-3</c:v>
                </c:pt>
                <c:pt idx="619">
                  <c:v>-3.2311808956428933E-3</c:v>
                </c:pt>
                <c:pt idx="620">
                  <c:v>8.8132502659168388E-3</c:v>
                </c:pt>
                <c:pt idx="621">
                  <c:v>1.5514384696490469E-2</c:v>
                </c:pt>
                <c:pt idx="622">
                  <c:v>1.5771778898447497E-2</c:v>
                </c:pt>
                <c:pt idx="623">
                  <c:v>1.6451691409102187E-2</c:v>
                </c:pt>
                <c:pt idx="624">
                  <c:v>-6.7040176219901326E-4</c:v>
                </c:pt>
                <c:pt idx="625">
                  <c:v>-1.8688006133499524E-2</c:v>
                </c:pt>
                <c:pt idx="626">
                  <c:v>1.8555593534841375E-3</c:v>
                </c:pt>
                <c:pt idx="627">
                  <c:v>1.1990057025881073E-2</c:v>
                </c:pt>
                <c:pt idx="628">
                  <c:v>8.1876414776282935E-4</c:v>
                </c:pt>
                <c:pt idx="629">
                  <c:v>-1.6843118383061961E-3</c:v>
                </c:pt>
                <c:pt idx="630">
                  <c:v>-1.2099301036394228E-2</c:v>
                </c:pt>
                <c:pt idx="631">
                  <c:v>2.4934127061579048E-2</c:v>
                </c:pt>
                <c:pt idx="632">
                  <c:v>1.6995953344441705E-2</c:v>
                </c:pt>
                <c:pt idx="633">
                  <c:v>1.5213931279842718E-2</c:v>
                </c:pt>
                <c:pt idx="634">
                  <c:v>-3.1770184903398446E-2</c:v>
                </c:pt>
                <c:pt idx="635">
                  <c:v>-9.5247166396794647E-4</c:v>
                </c:pt>
                <c:pt idx="636">
                  <c:v>2.3834493278673818E-3</c:v>
                </c:pt>
                <c:pt idx="637">
                  <c:v>2.3777820049453169E-4</c:v>
                </c:pt>
                <c:pt idx="638">
                  <c:v>-8.2727143060904451E-3</c:v>
                </c:pt>
                <c:pt idx="639">
                  <c:v>3.8352749412706721E-4</c:v>
                </c:pt>
                <c:pt idx="640">
                  <c:v>1.7108352901710866E-2</c:v>
                </c:pt>
                <c:pt idx="641">
                  <c:v>-6.5491895966830471E-3</c:v>
                </c:pt>
                <c:pt idx="642">
                  <c:v>2.0583353094617118E-2</c:v>
                </c:pt>
                <c:pt idx="643">
                  <c:v>-1.1106464055021026E-2</c:v>
                </c:pt>
                <c:pt idx="644">
                  <c:v>-2.2744360902255623E-2</c:v>
                </c:pt>
                <c:pt idx="645">
                  <c:v>-4.2412002308136243E-2</c:v>
                </c:pt>
                <c:pt idx="646">
                  <c:v>-2.1291553680827469E-2</c:v>
                </c:pt>
                <c:pt idx="647">
                  <c:v>2.7911749615187276E-2</c:v>
                </c:pt>
                <c:pt idx="648">
                  <c:v>2.9949086552871762E-4</c:v>
                </c:pt>
                <c:pt idx="649">
                  <c:v>1.8263473053892199E-2</c:v>
                </c:pt>
                <c:pt idx="650">
                  <c:v>8.5269038518083207E-3</c:v>
                </c:pt>
                <c:pt idx="651">
                  <c:v>1.8950437317784008E-3</c:v>
                </c:pt>
                <c:pt idx="652">
                  <c:v>8.4873175226731767E-3</c:v>
                </c:pt>
                <c:pt idx="653">
                  <c:v>1.1060882947004025E-2</c:v>
                </c:pt>
                <c:pt idx="654">
                  <c:v>6.2309741248096628E-3</c:v>
                </c:pt>
                <c:pt idx="655">
                  <c:v>1.1439376034034554E-2</c:v>
                </c:pt>
                <c:pt idx="656">
                  <c:v>6.9168575033882185E-3</c:v>
                </c:pt>
                <c:pt idx="657">
                  <c:v>-4.3165467625898568E-3</c:v>
                </c:pt>
                <c:pt idx="658">
                  <c:v>3.7292560134249975E-4</c:v>
                </c:pt>
                <c:pt idx="659">
                  <c:v>9.4594594594594739E-3</c:v>
                </c:pt>
                <c:pt idx="660">
                  <c:v>7.7551585652957389E-3</c:v>
                </c:pt>
                <c:pt idx="661">
                  <c:v>3.9393522971920003E-3</c:v>
                </c:pt>
                <c:pt idx="662">
                  <c:v>4.6082949308756671E-3</c:v>
                </c:pt>
                <c:pt idx="663">
                  <c:v>5.0413298210554292E-3</c:v>
                </c:pt>
                <c:pt idx="664">
                  <c:v>4.1574404627413575E-3</c:v>
                </c:pt>
                <c:pt idx="665">
                  <c:v>1.1655641060258404E-2</c:v>
                </c:pt>
                <c:pt idx="666">
                  <c:v>-2.0017793594305999E-2</c:v>
                </c:pt>
                <c:pt idx="667">
                  <c:v>-4.4030866999545948E-3</c:v>
                </c:pt>
                <c:pt idx="668">
                  <c:v>-7.750877672913048E-3</c:v>
                </c:pt>
                <c:pt idx="669">
                  <c:v>-2.3755916004227329E-2</c:v>
                </c:pt>
                <c:pt idx="670">
                  <c:v>2.0474442247952584E-2</c:v>
                </c:pt>
                <c:pt idx="671">
                  <c:v>-5.1888750518887528E-2</c:v>
                </c:pt>
                <c:pt idx="672">
                  <c:v>8.1241486670557972E-3</c:v>
                </c:pt>
                <c:pt idx="673">
                  <c:v>-3.0401003715677666E-3</c:v>
                </c:pt>
                <c:pt idx="674">
                  <c:v>-1.1035818005808329E-2</c:v>
                </c:pt>
                <c:pt idx="675">
                  <c:v>1.7325763508222458E-2</c:v>
                </c:pt>
                <c:pt idx="676">
                  <c:v>6.6871933031846797E-3</c:v>
                </c:pt>
                <c:pt idx="677">
                  <c:v>-8.2198327359617185E-3</c:v>
                </c:pt>
                <c:pt idx="678">
                  <c:v>1.4214812316291514E-2</c:v>
                </c:pt>
                <c:pt idx="679">
                  <c:v>2.8981375902699114E-3</c:v>
                </c:pt>
                <c:pt idx="680">
                  <c:v>1.6580605428964112E-3</c:v>
                </c:pt>
                <c:pt idx="681">
                  <c:v>7.0942111237237704E-4</c:v>
                </c:pt>
                <c:pt idx="682">
                  <c:v>-6.6165697811806368E-3</c:v>
                </c:pt>
                <c:pt idx="683">
                  <c:v>-1.9506161092345264E-3</c:v>
                </c:pt>
                <c:pt idx="684">
                  <c:v>3.4321670321288966E-3</c:v>
                </c:pt>
                <c:pt idx="685">
                  <c:v>1.7102137767222025E-3</c:v>
                </c:pt>
                <c:pt idx="686">
                  <c:v>-1.8116285687185929E-2</c:v>
                </c:pt>
                <c:pt idx="687">
                  <c:v>1.2074961360124536E-3</c:v>
                </c:pt>
                <c:pt idx="688">
                  <c:v>-9.9377683438660602E-3</c:v>
                </c:pt>
                <c:pt idx="689">
                  <c:v>2.9186766067339054E-2</c:v>
                </c:pt>
                <c:pt idx="690">
                  <c:v>-1.372976043935159E-3</c:v>
                </c:pt>
                <c:pt idx="691">
                  <c:v>-8.5336367515287392E-4</c:v>
                </c:pt>
                <c:pt idx="692">
                  <c:v>1.2669039145907446E-2</c:v>
                </c:pt>
                <c:pt idx="693">
                  <c:v>-2.7176459563301725E-3</c:v>
                </c:pt>
                <c:pt idx="694">
                  <c:v>4.4399548956962853E-2</c:v>
                </c:pt>
                <c:pt idx="695">
                  <c:v>-3.6438886139728011E-3</c:v>
                </c:pt>
                <c:pt idx="696">
                  <c:v>4.1087231352718856E-3</c:v>
                </c:pt>
                <c:pt idx="697">
                  <c:v>5.6207563289716322E-3</c:v>
                </c:pt>
                <c:pt idx="698">
                  <c:v>3.4877481666963916E-3</c:v>
                </c:pt>
                <c:pt idx="699">
                  <c:v>4.2331343017556478E-3</c:v>
                </c:pt>
                <c:pt idx="700">
                  <c:v>-1.0516040289302087E-2</c:v>
                </c:pt>
                <c:pt idx="701">
                  <c:v>5.0224215246637005E-3</c:v>
                </c:pt>
                <c:pt idx="702">
                  <c:v>-3.1679457433517744E-3</c:v>
                </c:pt>
                <c:pt idx="703">
                  <c:v>7.0274383420616537E-3</c:v>
                </c:pt>
                <c:pt idx="704">
                  <c:v>-1.1867721575251067E-2</c:v>
                </c:pt>
                <c:pt idx="705">
                  <c:v>1.4349332013854577E-2</c:v>
                </c:pt>
                <c:pt idx="706">
                  <c:v>-1.1529933481152943E-2</c:v>
                </c:pt>
                <c:pt idx="707">
                  <c:v>6.7743382682816655E-3</c:v>
                </c:pt>
                <c:pt idx="708">
                  <c:v>-1.1095762220934891E-2</c:v>
                </c:pt>
                <c:pt idx="709">
                  <c:v>4.5962509012256181E-3</c:v>
                </c:pt>
                <c:pt idx="710">
                  <c:v>-1.4174217278191459E-2</c:v>
                </c:pt>
                <c:pt idx="711">
                  <c:v>7.7805077805077616E-3</c:v>
                </c:pt>
                <c:pt idx="712">
                  <c:v>0.11544539256851327</c:v>
                </c:pt>
                <c:pt idx="713">
                  <c:v>-4.3228365579211503E-2</c:v>
                </c:pt>
                <c:pt idx="714">
                  <c:v>2.5382858109823658E-3</c:v>
                </c:pt>
                <c:pt idx="715">
                  <c:v>9.7476580302136018E-3</c:v>
                </c:pt>
                <c:pt idx="716">
                  <c:v>1.1283379999165177E-3</c:v>
                </c:pt>
                <c:pt idx="717">
                  <c:v>6.6789113374519093E-3</c:v>
                </c:pt>
                <c:pt idx="718">
                  <c:v>2.9441034997512716E-3</c:v>
                </c:pt>
                <c:pt idx="719">
                  <c:v>1.4222516227725635E-2</c:v>
                </c:pt>
                <c:pt idx="720">
                  <c:v>-1.1414129061187994E-3</c:v>
                </c:pt>
                <c:pt idx="721">
                  <c:v>-7.9173978696486236E-3</c:v>
                </c:pt>
                <c:pt idx="722">
                  <c:v>-9.5026533382698286E-3</c:v>
                </c:pt>
                <c:pt idx="723">
                  <c:v>1.6529612094027701E-2</c:v>
                </c:pt>
                <c:pt idx="724">
                  <c:v>1.548455630004919E-2</c:v>
                </c:pt>
                <c:pt idx="725">
                  <c:v>7.0006035003016276E-3</c:v>
                </c:pt>
                <c:pt idx="726">
                  <c:v>-1.2785169203722857E-3</c:v>
                </c:pt>
                <c:pt idx="727">
                  <c:v>-7.2008641036924725E-4</c:v>
                </c:pt>
                <c:pt idx="728">
                  <c:v>-2.8023539773402995E-4</c:v>
                </c:pt>
                <c:pt idx="729">
                  <c:v>-1.3895563030594249E-2</c:v>
                </c:pt>
                <c:pt idx="730">
                  <c:v>-5.807106598984757E-3</c:v>
                </c:pt>
                <c:pt idx="731">
                  <c:v>-5.8001797238786956E-3</c:v>
                </c:pt>
                <c:pt idx="732">
                  <c:v>8.5456039441247356E-3</c:v>
                </c:pt>
                <c:pt idx="733">
                  <c:v>7.6584650480691074E-3</c:v>
                </c:pt>
                <c:pt idx="734">
                  <c:v>-1.4351552393273015E-2</c:v>
                </c:pt>
                <c:pt idx="735">
                  <c:v>-3.8964767646937348E-3</c:v>
                </c:pt>
                <c:pt idx="736">
                  <c:v>2.7587910730462184E-3</c:v>
                </c:pt>
                <c:pt idx="737">
                  <c:v>-8.2125405494190007E-3</c:v>
                </c:pt>
                <c:pt idx="738">
                  <c:v>-6.5830331635822192E-3</c:v>
                </c:pt>
                <c:pt idx="739">
                  <c:v>-1.5003750937734317E-3</c:v>
                </c:pt>
                <c:pt idx="740">
                  <c:v>-5.0922447616662536E-3</c:v>
                </c:pt>
                <c:pt idx="741">
                  <c:v>-3.3520724953851389E-2</c:v>
                </c:pt>
                <c:pt idx="742">
                  <c:v>1.1242783348526242E-2</c:v>
                </c:pt>
                <c:pt idx="743">
                  <c:v>1.9917582417582347E-2</c:v>
                </c:pt>
                <c:pt idx="744">
                  <c:v>3.3249158249157862E-3</c:v>
                </c:pt>
                <c:pt idx="745">
                  <c:v>1.6443642770250566E-2</c:v>
                </c:pt>
                <c:pt idx="746">
                  <c:v>3.425364202880532E-3</c:v>
                </c:pt>
                <c:pt idx="747">
                  <c:v>-8.102327876943316E-3</c:v>
                </c:pt>
                <c:pt idx="748">
                  <c:v>-7.6709375129576651E-3</c:v>
                </c:pt>
                <c:pt idx="749">
                  <c:v>1.6296172488718952E-3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A-472F-AC95-3CF3FA98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336823"/>
        <c:axId val="361089260"/>
      </c:lineChart>
      <c:catAx>
        <c:axId val="1781336823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61089260"/>
        <c:crosses val="autoZero"/>
        <c:auto val="1"/>
        <c:lblAlgn val="ctr"/>
        <c:lblOffset val="100"/>
        <c:noMultiLvlLbl val="1"/>
      </c:catAx>
      <c:valAx>
        <c:axId val="361089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133682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MS Daily Returns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Sheet1!$I$7:$I$758</c:f>
              <c:numCache>
                <c:formatCode>0.00%</c:formatCode>
                <c:ptCount val="752"/>
                <c:pt idx="0">
                  <c:v>4.0622816648368198E-2</c:v>
                </c:pt>
                <c:pt idx="1">
                  <c:v>-2.4745827738346438E-2</c:v>
                </c:pt>
                <c:pt idx="2">
                  <c:v>1.7112509834775746E-2</c:v>
                </c:pt>
                <c:pt idx="3">
                  <c:v>6.0916650551150475E-3</c:v>
                </c:pt>
                <c:pt idx="4">
                  <c:v>7.6886112445939681E-4</c:v>
                </c:pt>
                <c:pt idx="5">
                  <c:v>1.7190050897916143E-2</c:v>
                </c:pt>
                <c:pt idx="6">
                  <c:v>-2.709592145015105E-2</c:v>
                </c:pt>
                <c:pt idx="7">
                  <c:v>-4.8520135856380264E-3</c:v>
                </c:pt>
                <c:pt idx="8">
                  <c:v>-3.5787420770355904E-2</c:v>
                </c:pt>
                <c:pt idx="9">
                  <c:v>-4.9251618122977292E-2</c:v>
                </c:pt>
                <c:pt idx="10">
                  <c:v>1.8295925965322812E-2</c:v>
                </c:pt>
                <c:pt idx="11">
                  <c:v>4.2828789303248627E-2</c:v>
                </c:pt>
                <c:pt idx="12">
                  <c:v>-9.7165180807372575E-3</c:v>
                </c:pt>
                <c:pt idx="13">
                  <c:v>-7.8899453773012551E-3</c:v>
                </c:pt>
                <c:pt idx="14">
                  <c:v>9.7879282218598096E-3</c:v>
                </c:pt>
                <c:pt idx="15">
                  <c:v>1.1409531502423187E-2</c:v>
                </c:pt>
                <c:pt idx="16">
                  <c:v>9.7833682739343342E-3</c:v>
                </c:pt>
                <c:pt idx="17">
                  <c:v>6.4260998517053913E-3</c:v>
                </c:pt>
                <c:pt idx="18">
                  <c:v>7.2691552062869036E-3</c:v>
                </c:pt>
                <c:pt idx="19">
                  <c:v>1.3750731421884099E-2</c:v>
                </c:pt>
                <c:pt idx="20">
                  <c:v>-2.8860028860033804E-4</c:v>
                </c:pt>
                <c:pt idx="21">
                  <c:v>-1.5685142417243947E-2</c:v>
                </c:pt>
                <c:pt idx="22">
                  <c:v>1.7792550591455569E-2</c:v>
                </c:pt>
                <c:pt idx="23">
                  <c:v>1.0277591009509202E-2</c:v>
                </c:pt>
                <c:pt idx="24">
                  <c:v>1.1123787792355788E-2</c:v>
                </c:pt>
                <c:pt idx="25">
                  <c:v>2.2378937470616034E-2</c:v>
                </c:pt>
                <c:pt idx="26">
                  <c:v>-1.0668628713326633E-2</c:v>
                </c:pt>
                <c:pt idx="27">
                  <c:v>-2.7888816584549558E-2</c:v>
                </c:pt>
                <c:pt idx="28">
                  <c:v>-1.912594434350201E-2</c:v>
                </c:pt>
                <c:pt idx="29">
                  <c:v>8.3845178902215434E-3</c:v>
                </c:pt>
                <c:pt idx="30">
                  <c:v>-2.2043894421347798E-2</c:v>
                </c:pt>
                <c:pt idx="31">
                  <c:v>-4.9431537320810626E-2</c:v>
                </c:pt>
                <c:pt idx="32">
                  <c:v>-7.592303692147695E-3</c:v>
                </c:pt>
                <c:pt idx="33">
                  <c:v>-7.0215887654579978E-3</c:v>
                </c:pt>
                <c:pt idx="34">
                  <c:v>-1.2664907651715018E-2</c:v>
                </c:pt>
                <c:pt idx="35">
                  <c:v>-1.8599679315873807E-2</c:v>
                </c:pt>
                <c:pt idx="36">
                  <c:v>2.9844243546454541E-2</c:v>
                </c:pt>
                <c:pt idx="37">
                  <c:v>-4.0296139608672732E-2</c:v>
                </c:pt>
                <c:pt idx="38">
                  <c:v>-3.4273749173462598E-2</c:v>
                </c:pt>
                <c:pt idx="39">
                  <c:v>8.5587127695994081E-3</c:v>
                </c:pt>
                <c:pt idx="40">
                  <c:v>-6.7888662593346139E-3</c:v>
                </c:pt>
                <c:pt idx="41">
                  <c:v>-1.6176805650489845E-2</c:v>
                </c:pt>
                <c:pt idx="42">
                  <c:v>-3.3696155627605306E-2</c:v>
                </c:pt>
                <c:pt idx="43">
                  <c:v>-1.6776512881965244E-3</c:v>
                </c:pt>
                <c:pt idx="44">
                  <c:v>4.9093746248949799E-2</c:v>
                </c:pt>
                <c:pt idx="45">
                  <c:v>-1.7620137299771188E-2</c:v>
                </c:pt>
                <c:pt idx="46">
                  <c:v>-7.9198695550896092E-3</c:v>
                </c:pt>
                <c:pt idx="47">
                  <c:v>-5.4003287156610957E-3</c:v>
                </c:pt>
                <c:pt idx="48">
                  <c:v>1.9003777148252965E-2</c:v>
                </c:pt>
                <c:pt idx="49">
                  <c:v>6.2898181396965125E-2</c:v>
                </c:pt>
                <c:pt idx="50">
                  <c:v>2.2885789014821301E-2</c:v>
                </c:pt>
                <c:pt idx="51">
                  <c:v>1.0227999147666589E-2</c:v>
                </c:pt>
                <c:pt idx="52">
                  <c:v>-2.3307319130984938E-2</c:v>
                </c:pt>
                <c:pt idx="53">
                  <c:v>1.7384731670445852E-2</c:v>
                </c:pt>
                <c:pt idx="54">
                  <c:v>-1.9528762470813033E-2</c:v>
                </c:pt>
                <c:pt idx="55">
                  <c:v>-2.7062134661182125E-3</c:v>
                </c:pt>
                <c:pt idx="56">
                  <c:v>2.71355693042441E-3</c:v>
                </c:pt>
                <c:pt idx="57">
                  <c:v>-1.2015587789564797E-2</c:v>
                </c:pt>
                <c:pt idx="58">
                  <c:v>6.2452065300757642E-3</c:v>
                </c:pt>
                <c:pt idx="59">
                  <c:v>-1.7094947735191712E-2</c:v>
                </c:pt>
                <c:pt idx="60">
                  <c:v>-3.1793508363797351E-2</c:v>
                </c:pt>
                <c:pt idx="61">
                  <c:v>-4.6910755148742433E-3</c:v>
                </c:pt>
                <c:pt idx="62">
                  <c:v>3.3337165191402729E-3</c:v>
                </c:pt>
                <c:pt idx="63">
                  <c:v>-2.2914757103574712E-2</c:v>
                </c:pt>
                <c:pt idx="64">
                  <c:v>-2.5211069418386578E-2</c:v>
                </c:pt>
                <c:pt idx="65">
                  <c:v>0</c:v>
                </c:pt>
                <c:pt idx="66">
                  <c:v>1.1187297004691565E-2</c:v>
                </c:pt>
                <c:pt idx="67">
                  <c:v>-4.7585058291699234E-4</c:v>
                </c:pt>
                <c:pt idx="68">
                  <c:v>-1.0711735301117686E-3</c:v>
                </c:pt>
                <c:pt idx="69">
                  <c:v>2.3829381627544777E-3</c:v>
                </c:pt>
                <c:pt idx="70">
                  <c:v>7.4884107928208099E-3</c:v>
                </c:pt>
                <c:pt idx="71">
                  <c:v>2.0292590844738001E-2</c:v>
                </c:pt>
                <c:pt idx="72">
                  <c:v>2.8098982423681695E-2</c:v>
                </c:pt>
                <c:pt idx="73">
                  <c:v>1.9120458891013437E-2</c:v>
                </c:pt>
                <c:pt idx="74">
                  <c:v>-1.8761726078799335E-2</c:v>
                </c:pt>
                <c:pt idx="75">
                  <c:v>-4.6901360926779878E-2</c:v>
                </c:pt>
                <c:pt idx="76">
                  <c:v>3.6582487609158054E-3</c:v>
                </c:pt>
                <c:pt idx="77">
                  <c:v>-3.1510875955320317E-2</c:v>
                </c:pt>
                <c:pt idx="78">
                  <c:v>-1.9424547772248779E-3</c:v>
                </c:pt>
                <c:pt idx="79">
                  <c:v>1.4475124680696005E-2</c:v>
                </c:pt>
                <c:pt idx="80">
                  <c:v>-3.369304556354924E-2</c:v>
                </c:pt>
                <c:pt idx="81">
                  <c:v>1.6999627745377666E-2</c:v>
                </c:pt>
                <c:pt idx="82">
                  <c:v>2.1839921913128446E-2</c:v>
                </c:pt>
                <c:pt idx="83">
                  <c:v>4.1432835820895519E-2</c:v>
                </c:pt>
                <c:pt idx="84">
                  <c:v>-2.6140793396010054E-2</c:v>
                </c:pt>
                <c:pt idx="85">
                  <c:v>-8.3588415352012779E-3</c:v>
                </c:pt>
                <c:pt idx="86">
                  <c:v>-3.6566543986703004E-2</c:v>
                </c:pt>
                <c:pt idx="87">
                  <c:v>-1.0967344423906344E-2</c:v>
                </c:pt>
                <c:pt idx="88">
                  <c:v>-1.7069524046847806E-2</c:v>
                </c:pt>
                <c:pt idx="89">
                  <c:v>-3.8027633413613149E-3</c:v>
                </c:pt>
                <c:pt idx="90">
                  <c:v>2.4812317088688252E-2</c:v>
                </c:pt>
                <c:pt idx="91">
                  <c:v>-7.9463620561212034E-3</c:v>
                </c:pt>
                <c:pt idx="92">
                  <c:v>3.7922403003754601E-2</c:v>
                </c:pt>
                <c:pt idx="93">
                  <c:v>-2.7010731942602284E-2</c:v>
                </c:pt>
                <c:pt idx="94">
                  <c:v>-9.0469698847441826E-3</c:v>
                </c:pt>
                <c:pt idx="95">
                  <c:v>-7.378689344672229E-3</c:v>
                </c:pt>
                <c:pt idx="96">
                  <c:v>3.7041703414388172E-2</c:v>
                </c:pt>
                <c:pt idx="97">
                  <c:v>-4.2522172275544223E-3</c:v>
                </c:pt>
                <c:pt idx="98">
                  <c:v>3.2942898975110158E-3</c:v>
                </c:pt>
                <c:pt idx="99">
                  <c:v>3.3686002675422655E-2</c:v>
                </c:pt>
                <c:pt idx="100">
                  <c:v>1.7058823529411793E-2</c:v>
                </c:pt>
                <c:pt idx="101">
                  <c:v>-3.5858877964141112E-3</c:v>
                </c:pt>
                <c:pt idx="102">
                  <c:v>-1.3234269793359621E-2</c:v>
                </c:pt>
                <c:pt idx="103">
                  <c:v>2.3529411764706687E-3</c:v>
                </c:pt>
                <c:pt idx="104">
                  <c:v>-1.2676056338028152E-2</c:v>
                </c:pt>
                <c:pt idx="105">
                  <c:v>8.915834522111199E-3</c:v>
                </c:pt>
                <c:pt idx="106">
                  <c:v>5.4200542005420349E-3</c:v>
                </c:pt>
                <c:pt idx="107">
                  <c:v>-2.4961912574709921E-2</c:v>
                </c:pt>
                <c:pt idx="108">
                  <c:v>-2.4519230769230793E-2</c:v>
                </c:pt>
                <c:pt idx="109">
                  <c:v>-4.6328240512567676E-2</c:v>
                </c:pt>
                <c:pt idx="110">
                  <c:v>-2.8682170542635665E-2</c:v>
                </c:pt>
                <c:pt idx="111">
                  <c:v>-2.9263101888802323E-3</c:v>
                </c:pt>
                <c:pt idx="112">
                  <c:v>1.4140875133404451E-2</c:v>
                </c:pt>
                <c:pt idx="113">
                  <c:v>-2.7229676400946978E-2</c:v>
                </c:pt>
                <c:pt idx="114">
                  <c:v>-1.4198782961460377E-2</c:v>
                </c:pt>
                <c:pt idx="115">
                  <c:v>2.3731138545953323E-2</c:v>
                </c:pt>
                <c:pt idx="116">
                  <c:v>-3.0818705614362729E-3</c:v>
                </c:pt>
                <c:pt idx="117">
                  <c:v>-5.7795698924731909E-3</c:v>
                </c:pt>
                <c:pt idx="118">
                  <c:v>5.2048127619304996E-2</c:v>
                </c:pt>
                <c:pt idx="119">
                  <c:v>-4.8830634798251449E-3</c:v>
                </c:pt>
                <c:pt idx="120">
                  <c:v>9.2975206611569661E-3</c:v>
                </c:pt>
                <c:pt idx="121">
                  <c:v>3.8382804503589441E-4</c:v>
                </c:pt>
                <c:pt idx="122">
                  <c:v>-2.7241335209105988E-2</c:v>
                </c:pt>
                <c:pt idx="123">
                  <c:v>9.0717854325532699E-3</c:v>
                </c:pt>
                <c:pt idx="124">
                  <c:v>-8.3387622149837526E-3</c:v>
                </c:pt>
                <c:pt idx="125">
                  <c:v>-8.6716594402838076E-3</c:v>
                </c:pt>
                <c:pt idx="126">
                  <c:v>2.0410868124585813E-2</c:v>
                </c:pt>
                <c:pt idx="127">
                  <c:v>-3.3770619560981041E-3</c:v>
                </c:pt>
                <c:pt idx="128">
                  <c:v>-1.1859768017724592E-2</c:v>
                </c:pt>
                <c:pt idx="129">
                  <c:v>1.5826958586124817E-3</c:v>
                </c:pt>
                <c:pt idx="130">
                  <c:v>-1.2641559125625368E-2</c:v>
                </c:pt>
                <c:pt idx="131">
                  <c:v>-3.8676980528141724E-3</c:v>
                </c:pt>
                <c:pt idx="132">
                  <c:v>4.498594189315841E-2</c:v>
                </c:pt>
                <c:pt idx="133">
                  <c:v>1.0377962844330568E-2</c:v>
                </c:pt>
                <c:pt idx="134">
                  <c:v>3.5379152929241764E-2</c:v>
                </c:pt>
                <c:pt idx="135">
                  <c:v>1.9595835884873569E-3</c:v>
                </c:pt>
                <c:pt idx="136">
                  <c:v>1.4790367925681336E-2</c:v>
                </c:pt>
                <c:pt idx="137">
                  <c:v>-7.1067212719825301E-3</c:v>
                </c:pt>
                <c:pt idx="138">
                  <c:v>1.4557806623800573E-3</c:v>
                </c:pt>
                <c:pt idx="139">
                  <c:v>-2.1320411871592837E-2</c:v>
                </c:pt>
                <c:pt idx="140">
                  <c:v>2.1289763584602106E-2</c:v>
                </c:pt>
                <c:pt idx="141">
                  <c:v>5.3326869470367022E-3</c:v>
                </c:pt>
                <c:pt idx="142">
                  <c:v>1.6274864376130127E-2</c:v>
                </c:pt>
                <c:pt idx="143">
                  <c:v>-2.491103202846956E-3</c:v>
                </c:pt>
                <c:pt idx="144">
                  <c:v>-6.6595314543941297E-3</c:v>
                </c:pt>
                <c:pt idx="145">
                  <c:v>1.8197054950317204E-2</c:v>
                </c:pt>
                <c:pt idx="146">
                  <c:v>3.6449147560257966E-3</c:v>
                </c:pt>
                <c:pt idx="147">
                  <c:v>9.0206185567009989E-3</c:v>
                </c:pt>
                <c:pt idx="148">
                  <c:v>-1.1610356437942171E-3</c:v>
                </c:pt>
                <c:pt idx="149">
                  <c:v>3.8358712077182222E-3</c:v>
                </c:pt>
                <c:pt idx="150">
                  <c:v>2.9295970356646661E-2</c:v>
                </c:pt>
                <c:pt idx="151">
                  <c:v>1.473731578355264E-2</c:v>
                </c:pt>
                <c:pt idx="152">
                  <c:v>1.6186252771618559E-2</c:v>
                </c:pt>
                <c:pt idx="153">
                  <c:v>3.9275583678812787E-3</c:v>
                </c:pt>
                <c:pt idx="154">
                  <c:v>-2.1734405564007853E-3</c:v>
                </c:pt>
                <c:pt idx="155">
                  <c:v>-5.1187105205837691E-3</c:v>
                </c:pt>
                <c:pt idx="156">
                  <c:v>4.159824849480076E-3</c:v>
                </c:pt>
                <c:pt idx="157">
                  <c:v>-1.8750681347432629E-2</c:v>
                </c:pt>
                <c:pt idx="158">
                  <c:v>-1.722030885457182E-2</c:v>
                </c:pt>
                <c:pt idx="159">
                  <c:v>-1.8087271082974921E-3</c:v>
                </c:pt>
                <c:pt idx="160">
                  <c:v>3.3975084937711841E-3</c:v>
                </c:pt>
                <c:pt idx="161">
                  <c:v>1.4785553047404143E-2</c:v>
                </c:pt>
                <c:pt idx="162">
                  <c:v>-3.447892336781222E-2</c:v>
                </c:pt>
                <c:pt idx="163">
                  <c:v>-1.6818338901048335E-2</c:v>
                </c:pt>
                <c:pt idx="164">
                  <c:v>-1.0779144698300991E-2</c:v>
                </c:pt>
                <c:pt idx="165">
                  <c:v>9.3568636740493094E-3</c:v>
                </c:pt>
                <c:pt idx="166">
                  <c:v>1.1147617930063358E-2</c:v>
                </c:pt>
                <c:pt idx="167">
                  <c:v>2.6691423929441349E-3</c:v>
                </c:pt>
                <c:pt idx="168">
                  <c:v>-1.4699074074074225E-2</c:v>
                </c:pt>
                <c:pt idx="169">
                  <c:v>2.0321860683660375E-2</c:v>
                </c:pt>
                <c:pt idx="170">
                  <c:v>1.8190191112134491E-2</c:v>
                </c:pt>
                <c:pt idx="171">
                  <c:v>1.1533242876526462E-2</c:v>
                </c:pt>
                <c:pt idx="172">
                  <c:v>7.7129443326626745E-3</c:v>
                </c:pt>
                <c:pt idx="173">
                  <c:v>-3.4387132556849775E-2</c:v>
                </c:pt>
                <c:pt idx="174">
                  <c:v>1.4933946008042209E-3</c:v>
                </c:pt>
                <c:pt idx="175">
                  <c:v>1.2388162422573901E-2</c:v>
                </c:pt>
                <c:pt idx="176">
                  <c:v>-9.4040335372762573E-3</c:v>
                </c:pt>
                <c:pt idx="177">
                  <c:v>1.4754660871554304E-2</c:v>
                </c:pt>
                <c:pt idx="178">
                  <c:v>-1.724526600541032E-2</c:v>
                </c:pt>
                <c:pt idx="179">
                  <c:v>-9.5194403027869523E-3</c:v>
                </c:pt>
                <c:pt idx="180">
                  <c:v>-1.8411301528485469E-2</c:v>
                </c:pt>
                <c:pt idx="181">
                  <c:v>-3.8457001297628746E-2</c:v>
                </c:pt>
                <c:pt idx="182">
                  <c:v>-2.1469758311863596E-2</c:v>
                </c:pt>
                <c:pt idx="183">
                  <c:v>-3.5105315947843163E-3</c:v>
                </c:pt>
                <c:pt idx="184">
                  <c:v>2.5037745344740792E-2</c:v>
                </c:pt>
                <c:pt idx="185">
                  <c:v>-1.9761875537007478E-2</c:v>
                </c:pt>
                <c:pt idx="186">
                  <c:v>-1.0643626346105606E-2</c:v>
                </c:pt>
                <c:pt idx="187">
                  <c:v>1.7339577268699946E-2</c:v>
                </c:pt>
                <c:pt idx="188">
                  <c:v>4.4662851455586017E-2</c:v>
                </c:pt>
                <c:pt idx="189">
                  <c:v>-1.0241753007026344E-2</c:v>
                </c:pt>
                <c:pt idx="190">
                  <c:v>-2.1658043556731954E-2</c:v>
                </c:pt>
                <c:pt idx="191">
                  <c:v>-2.9270692411757393E-2</c:v>
                </c:pt>
                <c:pt idx="192">
                  <c:v>-6.588116052198334E-3</c:v>
                </c:pt>
                <c:pt idx="193">
                  <c:v>-1.7982400204055615E-2</c:v>
                </c:pt>
                <c:pt idx="194">
                  <c:v>-5.1948051948053076E-3</c:v>
                </c:pt>
                <c:pt idx="195">
                  <c:v>3.5509138381200955E-2</c:v>
                </c:pt>
                <c:pt idx="196">
                  <c:v>-5.0680786686838064E-2</c:v>
                </c:pt>
                <c:pt idx="197">
                  <c:v>2.4435590969455578E-2</c:v>
                </c:pt>
                <c:pt idx="198">
                  <c:v>2.9815919108115096E-2</c:v>
                </c:pt>
                <c:pt idx="199">
                  <c:v>-2.2658610271903301E-2</c:v>
                </c:pt>
                <c:pt idx="200">
                  <c:v>-1.3395157135497215E-2</c:v>
                </c:pt>
                <c:pt idx="201">
                  <c:v>3.4203655352480489E-2</c:v>
                </c:pt>
                <c:pt idx="202">
                  <c:v>2.6508457460239221E-3</c:v>
                </c:pt>
                <c:pt idx="203">
                  <c:v>1.3596877753997205E-2</c:v>
                </c:pt>
                <c:pt idx="204">
                  <c:v>4.9683269159108701E-3</c:v>
                </c:pt>
                <c:pt idx="205">
                  <c:v>-2.7190705722407449E-3</c:v>
                </c:pt>
                <c:pt idx="206">
                  <c:v>1.8961457429669037E-2</c:v>
                </c:pt>
                <c:pt idx="207">
                  <c:v>-6.0812454390657411E-4</c:v>
                </c:pt>
                <c:pt idx="208">
                  <c:v>1.8863332116344056E-2</c:v>
                </c:pt>
                <c:pt idx="209">
                  <c:v>7.763975155279601E-3</c:v>
                </c:pt>
                <c:pt idx="210">
                  <c:v>-8.889415669076639E-3</c:v>
                </c:pt>
                <c:pt idx="211">
                  <c:v>1.4709399665151723E-2</c:v>
                </c:pt>
                <c:pt idx="212">
                  <c:v>8.4855627578079851E-3</c:v>
                </c:pt>
                <c:pt idx="213">
                  <c:v>-3.3890382143273445E-3</c:v>
                </c:pt>
                <c:pt idx="214">
                  <c:v>-2.1458724202626622E-2</c:v>
                </c:pt>
                <c:pt idx="215">
                  <c:v>6.4110245656081366E-2</c:v>
                </c:pt>
                <c:pt idx="216">
                  <c:v>2.2297297297297236E-2</c:v>
                </c:pt>
                <c:pt idx="217">
                  <c:v>-1.0685172945582688E-2</c:v>
                </c:pt>
                <c:pt idx="218">
                  <c:v>7.6828860928626064E-3</c:v>
                </c:pt>
                <c:pt idx="219">
                  <c:v>-7.5138121546961534E-3</c:v>
                </c:pt>
                <c:pt idx="220">
                  <c:v>-9.6860387441548568E-3</c:v>
                </c:pt>
                <c:pt idx="221">
                  <c:v>2.8105677346823565E-3</c:v>
                </c:pt>
                <c:pt idx="222">
                  <c:v>-1.3452914798206539E-3</c:v>
                </c:pt>
                <c:pt idx="223">
                  <c:v>6.6232599910194256E-3</c:v>
                </c:pt>
                <c:pt idx="224">
                  <c:v>2.8995204639232774E-3</c:v>
                </c:pt>
                <c:pt idx="225">
                  <c:v>1.0897364616924143E-2</c:v>
                </c:pt>
                <c:pt idx="226">
                  <c:v>-1.1219887801121931E-2</c:v>
                </c:pt>
                <c:pt idx="227">
                  <c:v>1.3238402491934531E-2</c:v>
                </c:pt>
                <c:pt idx="228">
                  <c:v>2.1848924022837002E-2</c:v>
                </c:pt>
                <c:pt idx="229">
                  <c:v>-7.521220586654831E-4</c:v>
                </c:pt>
                <c:pt idx="230">
                  <c:v>-9.6774193548387899E-3</c:v>
                </c:pt>
                <c:pt idx="231">
                  <c:v>-2.4864277958740466E-2</c:v>
                </c:pt>
                <c:pt idx="232">
                  <c:v>-2.560962030954228E-2</c:v>
                </c:pt>
                <c:pt idx="233">
                  <c:v>-2.6282710547366195E-3</c:v>
                </c:pt>
                <c:pt idx="234">
                  <c:v>1.61549037580202E-2</c:v>
                </c:pt>
                <c:pt idx="235">
                  <c:v>8.7946780922314449E-3</c:v>
                </c:pt>
                <c:pt idx="236">
                  <c:v>1.8441935844417223E-2</c:v>
                </c:pt>
                <c:pt idx="237">
                  <c:v>1.7449517120280866E-2</c:v>
                </c:pt>
                <c:pt idx="238">
                  <c:v>-2.3837773702944598E-2</c:v>
                </c:pt>
                <c:pt idx="239">
                  <c:v>-2.994475138121544E-2</c:v>
                </c:pt>
                <c:pt idx="240">
                  <c:v>-1.0593461669894166E-2</c:v>
                </c:pt>
                <c:pt idx="241">
                  <c:v>-1.5081740732212801E-2</c:v>
                </c:pt>
                <c:pt idx="242">
                  <c:v>-4.5587375803624042E-3</c:v>
                </c:pt>
                <c:pt idx="243">
                  <c:v>2.0079849694692342E-2</c:v>
                </c:pt>
                <c:pt idx="244">
                  <c:v>-5.7557269483136109E-3</c:v>
                </c:pt>
                <c:pt idx="245">
                  <c:v>-3.0103045038787357E-3</c:v>
                </c:pt>
                <c:pt idx="246">
                  <c:v>-1.2193705725235149E-2</c:v>
                </c:pt>
                <c:pt idx="247">
                  <c:v>-7.0538443451682031E-3</c:v>
                </c:pt>
                <c:pt idx="248">
                  <c:v>9.2351408950983593E-3</c:v>
                </c:pt>
                <c:pt idx="249">
                  <c:v>-2.5809479117785417E-3</c:v>
                </c:pt>
                <c:pt idx="250">
                  <c:v>8.2333568572101612E-3</c:v>
                </c:pt>
                <c:pt idx="251">
                  <c:v>1.084927671488578E-2</c:v>
                </c:pt>
                <c:pt idx="252">
                  <c:v>-8.4246970571264512E-3</c:v>
                </c:pt>
                <c:pt idx="253">
                  <c:v>1.9087523277467433E-2</c:v>
                </c:pt>
                <c:pt idx="254">
                  <c:v>9.1365920511643495E-4</c:v>
                </c:pt>
                <c:pt idx="255">
                  <c:v>1.4605203103605691E-2</c:v>
                </c:pt>
                <c:pt idx="256">
                  <c:v>5.7354925775978671E-3</c:v>
                </c:pt>
                <c:pt idx="257">
                  <c:v>1.2300123001229846E-2</c:v>
                </c:pt>
                <c:pt idx="258">
                  <c:v>1.2482050149121848E-2</c:v>
                </c:pt>
                <c:pt idx="259">
                  <c:v>5.9131573205324139E-2</c:v>
                </c:pt>
                <c:pt idx="260">
                  <c:v>-5.150391429748713E-3</c:v>
                </c:pt>
                <c:pt idx="261">
                  <c:v>-2.5160488714019436E-2</c:v>
                </c:pt>
                <c:pt idx="262">
                  <c:v>2.2198619224641503E-2</c:v>
                </c:pt>
                <c:pt idx="263">
                  <c:v>9.2477140482127851E-3</c:v>
                </c:pt>
                <c:pt idx="264">
                  <c:v>-1.6678678060331409E-2</c:v>
                </c:pt>
                <c:pt idx="265">
                  <c:v>1.3611140194742521E-3</c:v>
                </c:pt>
                <c:pt idx="266">
                  <c:v>8.992053534086164E-3</c:v>
                </c:pt>
                <c:pt idx="267">
                  <c:v>3.7305699481864352E-3</c:v>
                </c:pt>
                <c:pt idx="268">
                  <c:v>-9.2917613049763315E-3</c:v>
                </c:pt>
                <c:pt idx="269">
                  <c:v>1.4276781992496934E-2</c:v>
                </c:pt>
                <c:pt idx="270">
                  <c:v>8.8359190383231478E-3</c:v>
                </c:pt>
                <c:pt idx="271">
                  <c:v>1.038802322028709E-2</c:v>
                </c:pt>
                <c:pt idx="272">
                  <c:v>2.217518395323248E-3</c:v>
                </c:pt>
                <c:pt idx="273">
                  <c:v>-5.3303831841496896E-3</c:v>
                </c:pt>
                <c:pt idx="274">
                  <c:v>3.2355915065722662E-3</c:v>
                </c:pt>
                <c:pt idx="275">
                  <c:v>-2.6204394275348708E-3</c:v>
                </c:pt>
                <c:pt idx="276">
                  <c:v>-9.1956345998382982E-3</c:v>
                </c:pt>
                <c:pt idx="277">
                  <c:v>3.977562468128415E-3</c:v>
                </c:pt>
                <c:pt idx="278">
                  <c:v>1.0056887444128471E-2</c:v>
                </c:pt>
                <c:pt idx="279">
                  <c:v>1.1364779241677558E-2</c:v>
                </c:pt>
                <c:pt idx="280">
                  <c:v>2.6849642004773688E-3</c:v>
                </c:pt>
                <c:pt idx="281">
                  <c:v>-1.2496280868789067E-2</c:v>
                </c:pt>
                <c:pt idx="282">
                  <c:v>-6.0259114191008045E-4</c:v>
                </c:pt>
                <c:pt idx="283">
                  <c:v>-1.8993066023515248E-2</c:v>
                </c:pt>
                <c:pt idx="284">
                  <c:v>-3.5853308748208246E-3</c:v>
                </c:pt>
                <c:pt idx="285">
                  <c:v>6.8880435900071646E-3</c:v>
                </c:pt>
                <c:pt idx="286">
                  <c:v>-2.4504798856441745E-3</c:v>
                </c:pt>
                <c:pt idx="287">
                  <c:v>-1.0235414534288667E-2</c:v>
                </c:pt>
                <c:pt idx="288">
                  <c:v>-2.0682523267838704E-3</c:v>
                </c:pt>
                <c:pt idx="289">
                  <c:v>-3.2124352331606154E-3</c:v>
                </c:pt>
                <c:pt idx="290">
                  <c:v>-1.1435700176734009E-3</c:v>
                </c:pt>
                <c:pt idx="291">
                  <c:v>2.3417985012489595E-2</c:v>
                </c:pt>
                <c:pt idx="292">
                  <c:v>5.0849181328183057E-4</c:v>
                </c:pt>
                <c:pt idx="293">
                  <c:v>-2.3582028867655924E-2</c:v>
                </c:pt>
                <c:pt idx="294">
                  <c:v>-1.6656256506349942E-3</c:v>
                </c:pt>
                <c:pt idx="295">
                  <c:v>-3.8581856100104339E-2</c:v>
                </c:pt>
                <c:pt idx="296">
                  <c:v>-2.3318872017353609E-2</c:v>
                </c:pt>
                <c:pt idx="297">
                  <c:v>-2.2876179900055527E-2</c:v>
                </c:pt>
                <c:pt idx="298">
                  <c:v>2.2502557108762478E-2</c:v>
                </c:pt>
                <c:pt idx="299">
                  <c:v>-5.0905857508058205E-2</c:v>
                </c:pt>
                <c:pt idx="300">
                  <c:v>1.8971776554631781E-2</c:v>
                </c:pt>
                <c:pt idx="301">
                  <c:v>-3.2524997126767041E-2</c:v>
                </c:pt>
                <c:pt idx="302">
                  <c:v>1.7343787122831911E-2</c:v>
                </c:pt>
                <c:pt idx="303">
                  <c:v>3.6431574030826752E-2</c:v>
                </c:pt>
                <c:pt idx="304">
                  <c:v>-1.3632266786841041E-2</c:v>
                </c:pt>
                <c:pt idx="305">
                  <c:v>-1.9531696173615054E-2</c:v>
                </c:pt>
                <c:pt idx="306">
                  <c:v>-2.2017707362534944E-2</c:v>
                </c:pt>
                <c:pt idx="307">
                  <c:v>8.2191780821918581E-3</c:v>
                </c:pt>
                <c:pt idx="308">
                  <c:v>2.835538752362865E-3</c:v>
                </c:pt>
                <c:pt idx="309">
                  <c:v>1.6022620169651169E-2</c:v>
                </c:pt>
                <c:pt idx="310">
                  <c:v>-1.5074211502782431E-3</c:v>
                </c:pt>
                <c:pt idx="311">
                  <c:v>1.9626059691092657E-2</c:v>
                </c:pt>
                <c:pt idx="312">
                  <c:v>-7.2892938496583737E-3</c:v>
                </c:pt>
                <c:pt idx="313">
                  <c:v>-2.6847177604405692E-2</c:v>
                </c:pt>
                <c:pt idx="314">
                  <c:v>-1.1789672247111582E-2</c:v>
                </c:pt>
                <c:pt idx="315">
                  <c:v>4.4142209496540463E-3</c:v>
                </c:pt>
                <c:pt idx="316">
                  <c:v>-2.2568000950231593E-3</c:v>
                </c:pt>
                <c:pt idx="317">
                  <c:v>1.2976190476190474E-2</c:v>
                </c:pt>
                <c:pt idx="318">
                  <c:v>4.465859677987849E-3</c:v>
                </c:pt>
                <c:pt idx="319">
                  <c:v>2.5740025740026429E-3</c:v>
                </c:pt>
                <c:pt idx="320">
                  <c:v>1.1903372622242836E-2</c:v>
                </c:pt>
                <c:pt idx="321">
                  <c:v>2.9754353592434724E-2</c:v>
                </c:pt>
                <c:pt idx="322">
                  <c:v>6.2716989584499228E-3</c:v>
                </c:pt>
                <c:pt idx="323">
                  <c:v>6.6777963272122154E-3</c:v>
                </c:pt>
                <c:pt idx="324">
                  <c:v>-2.2111663902701917E-4</c:v>
                </c:pt>
                <c:pt idx="325">
                  <c:v>7.6302112130930411E-3</c:v>
                </c:pt>
                <c:pt idx="326">
                  <c:v>-1.0096575943810415E-2</c:v>
                </c:pt>
                <c:pt idx="327">
                  <c:v>-2.3725055432372466E-2</c:v>
                </c:pt>
                <c:pt idx="328">
                  <c:v>4.3152396093573131E-3</c:v>
                </c:pt>
                <c:pt idx="329">
                  <c:v>2.0578923563998375E-2</c:v>
                </c:pt>
                <c:pt idx="330">
                  <c:v>-3.2129403944162194E-3</c:v>
                </c:pt>
                <c:pt idx="331">
                  <c:v>-2.2674224741580429E-2</c:v>
                </c:pt>
                <c:pt idx="332">
                  <c:v>-1.865119981803709E-2</c:v>
                </c:pt>
                <c:pt idx="333">
                  <c:v>-1.7846795688955863E-2</c:v>
                </c:pt>
                <c:pt idx="334">
                  <c:v>-2.5250737463126893E-2</c:v>
                </c:pt>
                <c:pt idx="335">
                  <c:v>2.7478513497155355E-2</c:v>
                </c:pt>
                <c:pt idx="336">
                  <c:v>-5.3016022620168135E-3</c:v>
                </c:pt>
                <c:pt idx="337">
                  <c:v>-7.1064787397845386E-4</c:v>
                </c:pt>
                <c:pt idx="338">
                  <c:v>-7.7041602465331982E-3</c:v>
                </c:pt>
                <c:pt idx="339">
                  <c:v>-1.3019589106545659E-2</c:v>
                </c:pt>
                <c:pt idx="340">
                  <c:v>-2.9045140989955032E-3</c:v>
                </c:pt>
                <c:pt idx="341">
                  <c:v>6.7969413763806497E-3</c:v>
                </c:pt>
                <c:pt idx="342">
                  <c:v>-1.3140446051838506E-2</c:v>
                </c:pt>
                <c:pt idx="343">
                  <c:v>2.5042755924749471E-2</c:v>
                </c:pt>
                <c:pt idx="344">
                  <c:v>6.9121677988319696E-3</c:v>
                </c:pt>
                <c:pt idx="345">
                  <c:v>-2.6630370458042396E-2</c:v>
                </c:pt>
                <c:pt idx="346">
                  <c:v>3.6478599221800856E-4</c:v>
                </c:pt>
                <c:pt idx="347">
                  <c:v>4.4973866537012519E-3</c:v>
                </c:pt>
                <c:pt idx="348">
                  <c:v>-1.718296224588578E-2</c:v>
                </c:pt>
                <c:pt idx="349">
                  <c:v>2.1915784289583851E-2</c:v>
                </c:pt>
                <c:pt idx="350">
                  <c:v>1.0843373493975905E-2</c:v>
                </c:pt>
                <c:pt idx="351">
                  <c:v>-5.7210965435041672E-3</c:v>
                </c:pt>
                <c:pt idx="352">
                  <c:v>-1.9899304723087985E-2</c:v>
                </c:pt>
                <c:pt idx="353">
                  <c:v>3.7915851272014578E-3</c:v>
                </c:pt>
                <c:pt idx="354">
                  <c:v>2.7781162422322314E-2</c:v>
                </c:pt>
                <c:pt idx="355">
                  <c:v>-7.2317723770005671E-3</c:v>
                </c:pt>
                <c:pt idx="356">
                  <c:v>2.5316455696202667E-2</c:v>
                </c:pt>
                <c:pt idx="357">
                  <c:v>7.4539948753784557E-3</c:v>
                </c:pt>
                <c:pt idx="358">
                  <c:v>-2.1965317919074856E-3</c:v>
                </c:pt>
                <c:pt idx="359">
                  <c:v>-1.1586142973005753E-3</c:v>
                </c:pt>
                <c:pt idx="360">
                  <c:v>1.4267486370490801E-2</c:v>
                </c:pt>
                <c:pt idx="361">
                  <c:v>9.6065873741995045E-3</c:v>
                </c:pt>
                <c:pt idx="362">
                  <c:v>-3.3982782057090377E-3</c:v>
                </c:pt>
                <c:pt idx="363">
                  <c:v>1.2161854967037922E-2</c:v>
                </c:pt>
                <c:pt idx="364">
                  <c:v>-1.0780460415496851E-2</c:v>
                </c:pt>
                <c:pt idx="365">
                  <c:v>-1.5438755817913541E-2</c:v>
                </c:pt>
                <c:pt idx="366">
                  <c:v>-4.4967139398132128E-3</c:v>
                </c:pt>
                <c:pt idx="367">
                  <c:v>-2.1311095668288149E-2</c:v>
                </c:pt>
                <c:pt idx="368">
                  <c:v>-1.0887573964497022E-2</c:v>
                </c:pt>
                <c:pt idx="369">
                  <c:v>1.1964584828905167E-4</c:v>
                </c:pt>
                <c:pt idx="370">
                  <c:v>1.0049048929297699E-2</c:v>
                </c:pt>
                <c:pt idx="371">
                  <c:v>-5.2114177425087727E-3</c:v>
                </c:pt>
                <c:pt idx="372">
                  <c:v>1.4882724133825409E-2</c:v>
                </c:pt>
                <c:pt idx="373">
                  <c:v>1.8770530267482322E-3</c:v>
                </c:pt>
                <c:pt idx="374">
                  <c:v>1.1826697892271643E-2</c:v>
                </c:pt>
                <c:pt idx="375">
                  <c:v>-5.6706399722253886E-3</c:v>
                </c:pt>
                <c:pt idx="376">
                  <c:v>-3.0144320297951666E-2</c:v>
                </c:pt>
                <c:pt idx="377">
                  <c:v>3.6001440057598089E-4</c:v>
                </c:pt>
                <c:pt idx="378">
                  <c:v>4.7984644913645624E-4</c:v>
                </c:pt>
                <c:pt idx="379">
                  <c:v>1.8705035971222861E-2</c:v>
                </c:pt>
                <c:pt idx="380">
                  <c:v>9.5338983050847759E-3</c:v>
                </c:pt>
                <c:pt idx="381">
                  <c:v>5.129998834091154E-3</c:v>
                </c:pt>
                <c:pt idx="382">
                  <c:v>-4.98782043846413E-3</c:v>
                </c:pt>
                <c:pt idx="383">
                  <c:v>6.8780601538820374E-3</c:v>
                </c:pt>
                <c:pt idx="384">
                  <c:v>6.4489984948477463E-2</c:v>
                </c:pt>
                <c:pt idx="385">
                  <c:v>1.3269523602349453E-2</c:v>
                </c:pt>
                <c:pt idx="386">
                  <c:v>6.8699012451696184E-3</c:v>
                </c:pt>
                <c:pt idx="387">
                  <c:v>2.2388059701492491E-3</c:v>
                </c:pt>
                <c:pt idx="388">
                  <c:v>7.0205297308796322E-3</c:v>
                </c:pt>
                <c:pt idx="389">
                  <c:v>-2.6407520861941869E-3</c:v>
                </c:pt>
                <c:pt idx="390">
                  <c:v>-9.3200593094683315E-3</c:v>
                </c:pt>
                <c:pt idx="391">
                  <c:v>-8.4455847765662062E-3</c:v>
                </c:pt>
                <c:pt idx="392">
                  <c:v>-1.2722371967655022E-2</c:v>
                </c:pt>
                <c:pt idx="393">
                  <c:v>-1.0920607185749276E-4</c:v>
                </c:pt>
                <c:pt idx="394">
                  <c:v>-6.7715159458279217E-3</c:v>
                </c:pt>
                <c:pt idx="395">
                  <c:v>-1.7813943259291865E-2</c:v>
                </c:pt>
                <c:pt idx="396">
                  <c:v>-2.0152261531570792E-3</c:v>
                </c:pt>
                <c:pt idx="397">
                  <c:v>-3.9264078976889438E-3</c:v>
                </c:pt>
                <c:pt idx="398">
                  <c:v>3.2661335736006158E-3</c:v>
                </c:pt>
                <c:pt idx="399">
                  <c:v>-6.8477772788504421E-3</c:v>
                </c:pt>
                <c:pt idx="400">
                  <c:v>-1.0285972646094654E-2</c:v>
                </c:pt>
                <c:pt idx="401">
                  <c:v>9.1365920511643495E-4</c:v>
                </c:pt>
                <c:pt idx="402">
                  <c:v>6.8461889548143695E-4</c:v>
                </c:pt>
                <c:pt idx="403">
                  <c:v>-4.2189281641962229E-3</c:v>
                </c:pt>
                <c:pt idx="404">
                  <c:v>-1.3397457918241207E-2</c:v>
                </c:pt>
                <c:pt idx="405">
                  <c:v>-1.9730733519034427E-3</c:v>
                </c:pt>
                <c:pt idx="406">
                  <c:v>-2.3258518432374142E-3</c:v>
                </c:pt>
                <c:pt idx="407">
                  <c:v>-1.0490733185686052E-2</c:v>
                </c:pt>
                <c:pt idx="408">
                  <c:v>-7.5391683354929517E-3</c:v>
                </c:pt>
                <c:pt idx="409">
                  <c:v>-1.5074183976261035E-2</c:v>
                </c:pt>
                <c:pt idx="410">
                  <c:v>4.9409496264158914E-3</c:v>
                </c:pt>
                <c:pt idx="411">
                  <c:v>5.9959227725148168E-4</c:v>
                </c:pt>
                <c:pt idx="412">
                  <c:v>-2.6366251198466362E-3</c:v>
                </c:pt>
                <c:pt idx="413">
                  <c:v>1.3938956981494721E-2</c:v>
                </c:pt>
                <c:pt idx="414">
                  <c:v>1.3865844986963749E-2</c:v>
                </c:pt>
                <c:pt idx="415">
                  <c:v>-3.3898305084745228E-3</c:v>
                </c:pt>
                <c:pt idx="416">
                  <c:v>-1.2901712409101318E-3</c:v>
                </c:pt>
                <c:pt idx="417">
                  <c:v>7.0463887257778968E-3</c:v>
                </c:pt>
                <c:pt idx="418">
                  <c:v>-1.0612244897959089E-2</c:v>
                </c:pt>
                <c:pt idx="419">
                  <c:v>-8.0150872230081438E-3</c:v>
                </c:pt>
                <c:pt idx="420">
                  <c:v>-3.8022813688212143E-3</c:v>
                </c:pt>
                <c:pt idx="421">
                  <c:v>1.288167938931295E-2</c:v>
                </c:pt>
                <c:pt idx="422">
                  <c:v>-1.6603862458784646E-2</c:v>
                </c:pt>
                <c:pt idx="423">
                  <c:v>2.4428212190156673E-2</c:v>
                </c:pt>
                <c:pt idx="424">
                  <c:v>1.9871420222092429E-2</c:v>
                </c:pt>
                <c:pt idx="425">
                  <c:v>2.0859598853868011E-2</c:v>
                </c:pt>
                <c:pt idx="426">
                  <c:v>-7.4099023240147277E-3</c:v>
                </c:pt>
                <c:pt idx="427">
                  <c:v>3.3932813030199682E-3</c:v>
                </c:pt>
                <c:pt idx="428">
                  <c:v>-2.2545372562280397E-3</c:v>
                </c:pt>
                <c:pt idx="429">
                  <c:v>-1.5478477008247671E-2</c:v>
                </c:pt>
                <c:pt idx="430">
                  <c:v>-2.5935276566444898E-2</c:v>
                </c:pt>
                <c:pt idx="431">
                  <c:v>-1.873232799245983E-2</c:v>
                </c:pt>
                <c:pt idx="432">
                  <c:v>-3.1216232440869351E-3</c:v>
                </c:pt>
                <c:pt idx="433">
                  <c:v>-1.0357702035408867E-2</c:v>
                </c:pt>
                <c:pt idx="434">
                  <c:v>-6.328343677741266E-3</c:v>
                </c:pt>
                <c:pt idx="435">
                  <c:v>6.6135946111449684E-3</c:v>
                </c:pt>
                <c:pt idx="436">
                  <c:v>-6.3268037474144556E-3</c:v>
                </c:pt>
                <c:pt idx="437">
                  <c:v>-1.5427941716664728E-2</c:v>
                </c:pt>
                <c:pt idx="438">
                  <c:v>-2.9722671309538651E-2</c:v>
                </c:pt>
                <c:pt idx="439">
                  <c:v>1.3714432196872739E-2</c:v>
                </c:pt>
                <c:pt idx="440">
                  <c:v>7.5862940953341784E-4</c:v>
                </c:pt>
                <c:pt idx="441">
                  <c:v>1.4908401768793267E-2</c:v>
                </c:pt>
                <c:pt idx="442">
                  <c:v>-5.2284327150504684E-3</c:v>
                </c:pt>
                <c:pt idx="443">
                  <c:v>2.7530972343887683E-3</c:v>
                </c:pt>
                <c:pt idx="444">
                  <c:v>-1.5350056158741965E-2</c:v>
                </c:pt>
                <c:pt idx="445">
                  <c:v>-1.3814955640050752E-2</c:v>
                </c:pt>
                <c:pt idx="446">
                  <c:v>-2.5703637064644624E-4</c:v>
                </c:pt>
                <c:pt idx="447">
                  <c:v>1.2083815400437015E-2</c:v>
                </c:pt>
                <c:pt idx="448">
                  <c:v>2.0322621618188652E-2</c:v>
                </c:pt>
                <c:pt idx="449">
                  <c:v>-6.7845138802439919E-2</c:v>
                </c:pt>
                <c:pt idx="450">
                  <c:v>-2.6175213675213582E-2</c:v>
                </c:pt>
                <c:pt idx="451">
                  <c:v>2.8798683488753252E-3</c:v>
                </c:pt>
                <c:pt idx="452">
                  <c:v>-1.9554218514973187E-2</c:v>
                </c:pt>
                <c:pt idx="453">
                  <c:v>-1.9525801952580135E-3</c:v>
                </c:pt>
                <c:pt idx="454">
                  <c:v>-2.2358859698154987E-3</c:v>
                </c:pt>
                <c:pt idx="455">
                  <c:v>9.3837535014003048E-3</c:v>
                </c:pt>
                <c:pt idx="456">
                  <c:v>-2.3171916192590403E-2</c:v>
                </c:pt>
                <c:pt idx="457">
                  <c:v>2.6988636363636243E-3</c:v>
                </c:pt>
                <c:pt idx="458">
                  <c:v>3.2582518770363222E-3</c:v>
                </c:pt>
                <c:pt idx="459">
                  <c:v>1.8356396498164784E-3</c:v>
                </c:pt>
                <c:pt idx="460">
                  <c:v>3.5377026074700391E-2</c:v>
                </c:pt>
                <c:pt idx="461">
                  <c:v>3.8115981486523509E-2</c:v>
                </c:pt>
                <c:pt idx="462">
                  <c:v>-4.4584316810910574E-3</c:v>
                </c:pt>
                <c:pt idx="463">
                  <c:v>-5.4004214963118136E-3</c:v>
                </c:pt>
                <c:pt idx="464">
                  <c:v>6.0919083565089682E-3</c:v>
                </c:pt>
                <c:pt idx="465">
                  <c:v>-2.3430301434776868E-2</c:v>
                </c:pt>
                <c:pt idx="466">
                  <c:v>1.5365952284674522E-2</c:v>
                </c:pt>
                <c:pt idx="467">
                  <c:v>-3.8497278640646782E-3</c:v>
                </c:pt>
                <c:pt idx="468">
                  <c:v>4.357675906183367E-2</c:v>
                </c:pt>
                <c:pt idx="469">
                  <c:v>1.74945728514877E-2</c:v>
                </c:pt>
                <c:pt idx="470">
                  <c:v>-2.5100401606437117E-4</c:v>
                </c:pt>
                <c:pt idx="471">
                  <c:v>7.7830780818479717E-3</c:v>
                </c:pt>
                <c:pt idx="472">
                  <c:v>-7.2247135027403431E-3</c:v>
                </c:pt>
                <c:pt idx="473">
                  <c:v>-1.543287327478049E-2</c:v>
                </c:pt>
                <c:pt idx="474">
                  <c:v>2.54874474321376E-4</c:v>
                </c:pt>
                <c:pt idx="475">
                  <c:v>2.0384762390115441E-3</c:v>
                </c:pt>
                <c:pt idx="476">
                  <c:v>-8.9001907183725582E-3</c:v>
                </c:pt>
                <c:pt idx="477">
                  <c:v>-1.3726747915330462E-2</c:v>
                </c:pt>
                <c:pt idx="478">
                  <c:v>2.1722164412070866E-2</c:v>
                </c:pt>
                <c:pt idx="479">
                  <c:v>1.0057288351368543E-2</c:v>
                </c:pt>
                <c:pt idx="480">
                  <c:v>1.953617343080416E-2</c:v>
                </c:pt>
                <c:pt idx="481">
                  <c:v>3.9559896155272334E-3</c:v>
                </c:pt>
                <c:pt idx="482">
                  <c:v>-1.2806304642285382E-2</c:v>
                </c:pt>
                <c:pt idx="483">
                  <c:v>-9.4798553074716407E-3</c:v>
                </c:pt>
                <c:pt idx="484">
                  <c:v>1.1837300088149982E-2</c:v>
                </c:pt>
                <c:pt idx="485">
                  <c:v>2.4019912881145133E-2</c:v>
                </c:pt>
                <c:pt idx="486">
                  <c:v>6.5629557608166689E-3</c:v>
                </c:pt>
                <c:pt idx="487">
                  <c:v>9.4180149722289386E-3</c:v>
                </c:pt>
                <c:pt idx="488">
                  <c:v>2.4282296650717683E-2</c:v>
                </c:pt>
                <c:pt idx="489">
                  <c:v>6.3178792479271495E-2</c:v>
                </c:pt>
                <c:pt idx="490">
                  <c:v>5.9314586994727581E-3</c:v>
                </c:pt>
                <c:pt idx="491">
                  <c:v>-8.9539200698841581E-3</c:v>
                </c:pt>
                <c:pt idx="492">
                  <c:v>1.2780960775672146E-2</c:v>
                </c:pt>
                <c:pt idx="493">
                  <c:v>-8.4856396866840322E-3</c:v>
                </c:pt>
                <c:pt idx="494">
                  <c:v>1.6348474873820518E-2</c:v>
                </c:pt>
                <c:pt idx="495">
                  <c:v>-2.3750404836445638E-3</c:v>
                </c:pt>
                <c:pt idx="496">
                  <c:v>4.6531760631967067E-3</c:v>
                </c:pt>
                <c:pt idx="497">
                  <c:v>8.8323998276604865E-3</c:v>
                </c:pt>
                <c:pt idx="498">
                  <c:v>-2.1353833013026957E-4</c:v>
                </c:pt>
                <c:pt idx="499">
                  <c:v>-4.1648868005126349E-3</c:v>
                </c:pt>
                <c:pt idx="500">
                  <c:v>6.9705093833780651E-3</c:v>
                </c:pt>
                <c:pt idx="501">
                  <c:v>-2.119275825346123E-2</c:v>
                </c:pt>
                <c:pt idx="502">
                  <c:v>2.6112501360027185E-3</c:v>
                </c:pt>
                <c:pt idx="503">
                  <c:v>1.1828540423222789E-2</c:v>
                </c:pt>
                <c:pt idx="504">
                  <c:v>2.8957528957529455E-3</c:v>
                </c:pt>
                <c:pt idx="505">
                  <c:v>-1.550636295583363E-2</c:v>
                </c:pt>
                <c:pt idx="506">
                  <c:v>-6.3002389745817622E-3</c:v>
                </c:pt>
                <c:pt idx="507">
                  <c:v>-1.0603410581547901E-2</c:v>
                </c:pt>
                <c:pt idx="508">
                  <c:v>-8.9492873715611987E-3</c:v>
                </c:pt>
                <c:pt idx="509">
                  <c:v>-4.1583054626532889E-2</c:v>
                </c:pt>
                <c:pt idx="510">
                  <c:v>-1.814586483657088E-2</c:v>
                </c:pt>
                <c:pt idx="511">
                  <c:v>-6.0419381589857935E-3</c:v>
                </c:pt>
                <c:pt idx="512">
                  <c:v>1.7163289630512502E-2</c:v>
                </c:pt>
                <c:pt idx="513">
                  <c:v>4.569955472228715E-3</c:v>
                </c:pt>
                <c:pt idx="514">
                  <c:v>1.1781173451533844E-2</c:v>
                </c:pt>
                <c:pt idx="515">
                  <c:v>9.5688263776803062E-3</c:v>
                </c:pt>
                <c:pt idx="516">
                  <c:v>5.1387461459404538E-3</c:v>
                </c:pt>
                <c:pt idx="517">
                  <c:v>-3.2947057486933939E-3</c:v>
                </c:pt>
                <c:pt idx="518">
                  <c:v>-1.2538470306622251E-3</c:v>
                </c:pt>
                <c:pt idx="519">
                  <c:v>0</c:v>
                </c:pt>
                <c:pt idx="520">
                  <c:v>-4.3369093814198401E-3</c:v>
                </c:pt>
                <c:pt idx="521">
                  <c:v>-4.8143053645116618E-3</c:v>
                </c:pt>
                <c:pt idx="522">
                  <c:v>5.1831375259157042E-3</c:v>
                </c:pt>
                <c:pt idx="523">
                  <c:v>-1.5812994156067295E-2</c:v>
                </c:pt>
                <c:pt idx="524">
                  <c:v>2.4449877750609694E-3</c:v>
                </c:pt>
                <c:pt idx="525">
                  <c:v>-1.1614401858303092E-3</c:v>
                </c:pt>
                <c:pt idx="526">
                  <c:v>-4.0697674418603835E-3</c:v>
                </c:pt>
                <c:pt idx="527">
                  <c:v>2.8021015761821033E-3</c:v>
                </c:pt>
                <c:pt idx="528">
                  <c:v>1.140994295028519E-2</c:v>
                </c:pt>
                <c:pt idx="529">
                  <c:v>-3.3383216300218788E-2</c:v>
                </c:pt>
                <c:pt idx="530">
                  <c:v>3.5727045373357136E-4</c:v>
                </c:pt>
                <c:pt idx="531">
                  <c:v>1.9880952380952444E-2</c:v>
                </c:pt>
                <c:pt idx="532">
                  <c:v>9.6883389751372118E-3</c:v>
                </c:pt>
                <c:pt idx="533">
                  <c:v>-1.3294797687861348E-2</c:v>
                </c:pt>
                <c:pt idx="534">
                  <c:v>1.2888107791446668E-3</c:v>
                </c:pt>
                <c:pt idx="535">
                  <c:v>4.5635384975426518E-3</c:v>
                </c:pt>
                <c:pt idx="536">
                  <c:v>8.1537565521259125E-3</c:v>
                </c:pt>
                <c:pt idx="537">
                  <c:v>-1.0167533217793179E-2</c:v>
                </c:pt>
                <c:pt idx="538">
                  <c:v>-2.1010855608731838E-3</c:v>
                </c:pt>
                <c:pt idx="539">
                  <c:v>6.5504737396187007E-3</c:v>
                </c:pt>
                <c:pt idx="540">
                  <c:v>-1.162115049389012E-4</c:v>
                </c:pt>
                <c:pt idx="541">
                  <c:v>5.113900511390046E-3</c:v>
                </c:pt>
                <c:pt idx="542">
                  <c:v>4.1165587419056404E-2</c:v>
                </c:pt>
                <c:pt idx="543">
                  <c:v>-1.0106619280319973E-2</c:v>
                </c:pt>
                <c:pt idx="544">
                  <c:v>-3.8931897228766998E-2</c:v>
                </c:pt>
                <c:pt idx="545">
                  <c:v>5.6035489143124728E-3</c:v>
                </c:pt>
                <c:pt idx="546">
                  <c:v>1.0448107731599876E-2</c:v>
                </c:pt>
                <c:pt idx="547">
                  <c:v>-1.1488970588235947E-3</c:v>
                </c:pt>
                <c:pt idx="548">
                  <c:v>1.2652403956752156E-3</c:v>
                </c:pt>
                <c:pt idx="549">
                  <c:v>2.642159678345779E-2</c:v>
                </c:pt>
                <c:pt idx="550">
                  <c:v>-2.7979854504756041E-3</c:v>
                </c:pt>
                <c:pt idx="551">
                  <c:v>-8.0808080808080218E-3</c:v>
                </c:pt>
                <c:pt idx="552">
                  <c:v>-4.7522063815342852E-3</c:v>
                </c:pt>
                <c:pt idx="553">
                  <c:v>5.2296498408368475E-3</c:v>
                </c:pt>
                <c:pt idx="554">
                  <c:v>3.3137299253562569E-2</c:v>
                </c:pt>
                <c:pt idx="555">
                  <c:v>2.2441160372195013E-2</c:v>
                </c:pt>
                <c:pt idx="556">
                  <c:v>-1.5524625267665959E-2</c:v>
                </c:pt>
                <c:pt idx="557">
                  <c:v>-8.809135399673762E-3</c:v>
                </c:pt>
                <c:pt idx="558">
                  <c:v>1.536098310291889E-3</c:v>
                </c:pt>
                <c:pt idx="559">
                  <c:v>2.4320771253286688E-2</c:v>
                </c:pt>
                <c:pt idx="560">
                  <c:v>7.058823529411784E-3</c:v>
                </c:pt>
                <c:pt idx="561">
                  <c:v>-6.6907391673746153E-3</c:v>
                </c:pt>
                <c:pt idx="562">
                  <c:v>-8.7672404576072394E-3</c:v>
                </c:pt>
                <c:pt idx="563">
                  <c:v>3.1280336533276998E-3</c:v>
                </c:pt>
                <c:pt idx="564">
                  <c:v>-7.7419354838709209E-3</c:v>
                </c:pt>
                <c:pt idx="565">
                  <c:v>2.0589510186388438E-3</c:v>
                </c:pt>
                <c:pt idx="566">
                  <c:v>8.0025954363576179E-3</c:v>
                </c:pt>
                <c:pt idx="567">
                  <c:v>9.3337624718379253E-3</c:v>
                </c:pt>
                <c:pt idx="568">
                  <c:v>-2.5829081632652962E-2</c:v>
                </c:pt>
                <c:pt idx="569">
                  <c:v>-5.2482269503546175E-2</c:v>
                </c:pt>
                <c:pt idx="570">
                  <c:v>-7.4850299401197917E-3</c:v>
                </c:pt>
                <c:pt idx="571">
                  <c:v>9.2818192365702323E-3</c:v>
                </c:pt>
                <c:pt idx="572">
                  <c:v>2.4715484538452737E-2</c:v>
                </c:pt>
                <c:pt idx="573">
                  <c:v>1.0545209782364839E-2</c:v>
                </c:pt>
                <c:pt idx="574">
                  <c:v>1.998223801065846E-3</c:v>
                </c:pt>
                <c:pt idx="575">
                  <c:v>4.4316419233325632E-3</c:v>
                </c:pt>
                <c:pt idx="576">
                  <c:v>1.577321861901626E-2</c:v>
                </c:pt>
                <c:pt idx="577">
                  <c:v>1.8134433706157083E-2</c:v>
                </c:pt>
                <c:pt idx="578">
                  <c:v>9.5989761092130088E-4</c:v>
                </c:pt>
                <c:pt idx="579">
                  <c:v>-1.3745338305807042E-2</c:v>
                </c:pt>
                <c:pt idx="580">
                  <c:v>2.9170267934313099E-3</c:v>
                </c:pt>
                <c:pt idx="581">
                  <c:v>-7.7561133254335779E-3</c:v>
                </c:pt>
                <c:pt idx="582">
                  <c:v>-1.3787862338508261E-2</c:v>
                </c:pt>
                <c:pt idx="583">
                  <c:v>7.705856450902715E-3</c:v>
                </c:pt>
                <c:pt idx="584">
                  <c:v>1.2125846624426506E-2</c:v>
                </c:pt>
                <c:pt idx="585">
                  <c:v>1.0685375067458036E-2</c:v>
                </c:pt>
                <c:pt idx="586">
                  <c:v>1.22810764630501E-2</c:v>
                </c:pt>
                <c:pt idx="587">
                  <c:v>1.0549636037556764E-2</c:v>
                </c:pt>
                <c:pt idx="588">
                  <c:v>-1.5659254619481144E-3</c:v>
                </c:pt>
                <c:pt idx="589">
                  <c:v>2.5826014219991533E-2</c:v>
                </c:pt>
                <c:pt idx="590">
                  <c:v>1.7327489552543263E-3</c:v>
                </c:pt>
                <c:pt idx="591">
                  <c:v>2.8490028490029129E-3</c:v>
                </c:pt>
                <c:pt idx="592">
                  <c:v>8.3198051948050189E-3</c:v>
                </c:pt>
                <c:pt idx="593">
                  <c:v>1.1471120949889224E-2</c:v>
                </c:pt>
                <c:pt idx="594">
                  <c:v>-9.351372861122087E-3</c:v>
                </c:pt>
                <c:pt idx="595">
                  <c:v>6.4269933721630146E-3</c:v>
                </c:pt>
                <c:pt idx="596">
                  <c:v>1.0975853123129653E-3</c:v>
                </c:pt>
                <c:pt idx="597">
                  <c:v>1.1960530250174406E-2</c:v>
                </c:pt>
                <c:pt idx="598">
                  <c:v>-7.7809514429233451E-3</c:v>
                </c:pt>
                <c:pt idx="599">
                  <c:v>-1.8066309311097761E-2</c:v>
                </c:pt>
                <c:pt idx="600">
                  <c:v>5.0545895673259622E-4</c:v>
                </c:pt>
                <c:pt idx="601">
                  <c:v>-3.0312215822976274E-3</c:v>
                </c:pt>
                <c:pt idx="602">
                  <c:v>-1.4188709840883829E-2</c:v>
                </c:pt>
                <c:pt idx="603">
                  <c:v>-4.112264829854162E-4</c:v>
                </c:pt>
                <c:pt idx="604">
                  <c:v>6.2737838115807243E-3</c:v>
                </c:pt>
                <c:pt idx="605">
                  <c:v>-4.3949304987735971E-3</c:v>
                </c:pt>
                <c:pt idx="606">
                  <c:v>-8.5206857612154518E-3</c:v>
                </c:pt>
                <c:pt idx="607">
                  <c:v>8.2832884655203998E-4</c:v>
                </c:pt>
                <c:pt idx="608">
                  <c:v>1.9656528036415821E-3</c:v>
                </c:pt>
                <c:pt idx="609">
                  <c:v>2.9943211151266524E-3</c:v>
                </c:pt>
                <c:pt idx="610">
                  <c:v>-7.7208153180975403E-3</c:v>
                </c:pt>
                <c:pt idx="611">
                  <c:v>-9.9595393713040048E-3</c:v>
                </c:pt>
                <c:pt idx="612">
                  <c:v>2.3053547102587224E-3</c:v>
                </c:pt>
                <c:pt idx="613">
                  <c:v>-4.6001045478307745E-3</c:v>
                </c:pt>
                <c:pt idx="614">
                  <c:v>3.045898540069425E-3</c:v>
                </c:pt>
                <c:pt idx="615">
                  <c:v>1.6125654450261928E-2</c:v>
                </c:pt>
                <c:pt idx="616">
                  <c:v>5.4616652926626763E-3</c:v>
                </c:pt>
                <c:pt idx="617">
                  <c:v>-1.3323767551500776E-3</c:v>
                </c:pt>
                <c:pt idx="618">
                  <c:v>-1.3136288998357948E-2</c:v>
                </c:pt>
                <c:pt idx="619">
                  <c:v>9.7753743760398137E-3</c:v>
                </c:pt>
                <c:pt idx="620">
                  <c:v>7.2090628218330899E-3</c:v>
                </c:pt>
                <c:pt idx="621">
                  <c:v>-9.3047034764826009E-3</c:v>
                </c:pt>
                <c:pt idx="622">
                  <c:v>-1.1559500464444317E-2</c:v>
                </c:pt>
                <c:pt idx="623">
                  <c:v>1.4827190143051006E-2</c:v>
                </c:pt>
                <c:pt idx="624">
                  <c:v>2.0269575059162381E-2</c:v>
                </c:pt>
                <c:pt idx="625">
                  <c:v>4.9415086728521462E-3</c:v>
                </c:pt>
                <c:pt idx="626">
                  <c:v>5.5193176116408171E-3</c:v>
                </c:pt>
                <c:pt idx="627">
                  <c:v>-6.0878243512973995E-3</c:v>
                </c:pt>
                <c:pt idx="628">
                  <c:v>1.0041168792047417E-2</c:v>
                </c:pt>
                <c:pt idx="629">
                  <c:v>2.0081519037677742E-2</c:v>
                </c:pt>
                <c:pt idx="630">
                  <c:v>8.2837930026311568E-3</c:v>
                </c:pt>
                <c:pt idx="631">
                  <c:v>1.1405374057606776E-2</c:v>
                </c:pt>
                <c:pt idx="632">
                  <c:v>-5.2561162079510781E-3</c:v>
                </c:pt>
                <c:pt idx="633">
                  <c:v>1.124027284081075E-2</c:v>
                </c:pt>
                <c:pt idx="634">
                  <c:v>9.1202736082081071E-3</c:v>
                </c:pt>
                <c:pt idx="635">
                  <c:v>6.9666729429485041E-3</c:v>
                </c:pt>
                <c:pt idx="636">
                  <c:v>-2.0100972326103084E-2</c:v>
                </c:pt>
                <c:pt idx="637">
                  <c:v>-2.5951722163915614E-2</c:v>
                </c:pt>
                <c:pt idx="638">
                  <c:v>3.4283475364873528E-3</c:v>
                </c:pt>
                <c:pt idx="639">
                  <c:v>1.0347520499804697E-2</c:v>
                </c:pt>
                <c:pt idx="640">
                  <c:v>-1.4782608695652177E-2</c:v>
                </c:pt>
                <c:pt idx="641">
                  <c:v>1.5592821418064062E-2</c:v>
                </c:pt>
                <c:pt idx="642">
                  <c:v>6.0834298957126443E-3</c:v>
                </c:pt>
                <c:pt idx="643">
                  <c:v>-1.6412323639504733E-2</c:v>
                </c:pt>
                <c:pt idx="644">
                  <c:v>1.2490241998438734E-2</c:v>
                </c:pt>
                <c:pt idx="645">
                  <c:v>-5.3006939090208816E-3</c:v>
                </c:pt>
                <c:pt idx="646">
                  <c:v>-1.4049026257145547E-2</c:v>
                </c:pt>
                <c:pt idx="647">
                  <c:v>-5.8077830188679402E-2</c:v>
                </c:pt>
                <c:pt idx="648">
                  <c:v>-3.9436619718309918E-2</c:v>
                </c:pt>
                <c:pt idx="649">
                  <c:v>9.7751710654936375E-3</c:v>
                </c:pt>
                <c:pt idx="650">
                  <c:v>-9.2502957943422226E-3</c:v>
                </c:pt>
                <c:pt idx="651">
                  <c:v>2.7358592986646446E-2</c:v>
                </c:pt>
                <c:pt idx="652">
                  <c:v>9.5107259854176895E-4</c:v>
                </c:pt>
                <c:pt idx="653">
                  <c:v>1.2668918918918859E-3</c:v>
                </c:pt>
                <c:pt idx="654">
                  <c:v>1.9717418810628384E-2</c:v>
                </c:pt>
                <c:pt idx="655">
                  <c:v>2.8228725054286086E-2</c:v>
                </c:pt>
                <c:pt idx="656">
                  <c:v>1.2067578439259874E-2</c:v>
                </c:pt>
                <c:pt idx="657">
                  <c:v>7.9491255961843255E-3</c:v>
                </c:pt>
                <c:pt idx="658">
                  <c:v>3.0559936908518548E-3</c:v>
                </c:pt>
                <c:pt idx="659">
                  <c:v>-9.5331695331695165E-3</c:v>
                </c:pt>
                <c:pt idx="660">
                  <c:v>-8.9303433220877526E-4</c:v>
                </c:pt>
                <c:pt idx="661">
                  <c:v>-1.2910914688647468E-3</c:v>
                </c:pt>
                <c:pt idx="662">
                  <c:v>1.3225934765314307E-2</c:v>
                </c:pt>
                <c:pt idx="663">
                  <c:v>4.3183825694375066E-3</c:v>
                </c:pt>
                <c:pt idx="664">
                  <c:v>-2.4430763217042628E-3</c:v>
                </c:pt>
                <c:pt idx="665">
                  <c:v>1.1755485893416573E-3</c:v>
                </c:pt>
                <c:pt idx="666">
                  <c:v>3.9138943248531177E-3</c:v>
                </c:pt>
                <c:pt idx="667">
                  <c:v>9.8440545808966551E-3</c:v>
                </c:pt>
                <c:pt idx="668">
                  <c:v>-4.1887848663256455E-2</c:v>
                </c:pt>
                <c:pt idx="669">
                  <c:v>8.8647124005238886E-3</c:v>
                </c:pt>
                <c:pt idx="670">
                  <c:v>-5.8911632551174042E-3</c:v>
                </c:pt>
                <c:pt idx="671">
                  <c:v>-2.9831257533145861E-2</c:v>
                </c:pt>
                <c:pt idx="672">
                  <c:v>1.6461331400766221E-2</c:v>
                </c:pt>
                <c:pt idx="673">
                  <c:v>-1.5889183133021012E-2</c:v>
                </c:pt>
                <c:pt idx="674">
                  <c:v>4.2434278617262677E-3</c:v>
                </c:pt>
                <c:pt idx="675">
                  <c:v>-4.0193754508914825E-3</c:v>
                </c:pt>
                <c:pt idx="676">
                  <c:v>1.66597682119205E-2</c:v>
                </c:pt>
                <c:pt idx="677">
                  <c:v>1.8727735368956777E-2</c:v>
                </c:pt>
                <c:pt idx="678">
                  <c:v>-2.497752023179145E-3</c:v>
                </c:pt>
                <c:pt idx="679">
                  <c:v>-5.4086538461538547E-3</c:v>
                </c:pt>
                <c:pt idx="680">
                  <c:v>1.4400805639476433E-2</c:v>
                </c:pt>
                <c:pt idx="681">
                  <c:v>1.7273900526159069E-2</c:v>
                </c:pt>
                <c:pt idx="682">
                  <c:v>0</c:v>
                </c:pt>
                <c:pt idx="683">
                  <c:v>1.0734849224163234E-3</c:v>
                </c:pt>
                <c:pt idx="684">
                  <c:v>-2.3396373562097894E-3</c:v>
                </c:pt>
                <c:pt idx="685">
                  <c:v>2.208325190541327E-2</c:v>
                </c:pt>
                <c:pt idx="686">
                  <c:v>-4.6845124282982598E-3</c:v>
                </c:pt>
                <c:pt idx="687">
                  <c:v>1.2486792815291636E-3</c:v>
                </c:pt>
                <c:pt idx="688">
                  <c:v>1.7267843438220076E-3</c:v>
                </c:pt>
                <c:pt idx="689">
                  <c:v>9.5767094426357779E-4</c:v>
                </c:pt>
                <c:pt idx="690">
                  <c:v>4.7837734404887478E-4</c:v>
                </c:pt>
                <c:pt idx="691">
                  <c:v>3.1653437888495839E-2</c:v>
                </c:pt>
                <c:pt idx="692">
                  <c:v>-2.2246941045606095E-3</c:v>
                </c:pt>
                <c:pt idx="693">
                  <c:v>-1.393534002229746E-3</c:v>
                </c:pt>
                <c:pt idx="694">
                  <c:v>1.4419946041492437E-2</c:v>
                </c:pt>
                <c:pt idx="695">
                  <c:v>-8.8041085840059319E-3</c:v>
                </c:pt>
                <c:pt idx="696">
                  <c:v>2.2020725388600892E-2</c:v>
                </c:pt>
                <c:pt idx="697">
                  <c:v>1.647655259822578E-2</c:v>
                </c:pt>
                <c:pt idx="698">
                  <c:v>-5.3437833986469396E-4</c:v>
                </c:pt>
                <c:pt idx="699">
                  <c:v>6.496168240955269E-2</c:v>
                </c:pt>
                <c:pt idx="700">
                  <c:v>-5.8572504392939706E-4</c:v>
                </c:pt>
                <c:pt idx="701">
                  <c:v>1.3563295378432816E-2</c:v>
                </c:pt>
                <c:pt idx="702">
                  <c:v>-2.2963819593589951E-2</c:v>
                </c:pt>
                <c:pt idx="703">
                  <c:v>3.3818058843415599E-4</c:v>
                </c:pt>
                <c:pt idx="704">
                  <c:v>-3.3806626098709103E-4</c:v>
                </c:pt>
                <c:pt idx="705">
                  <c:v>7.5245180926615252E-3</c:v>
                </c:pt>
                <c:pt idx="706">
                  <c:v>-1.9216245699421042E-2</c:v>
                </c:pt>
                <c:pt idx="707">
                  <c:v>1.9250513347022657E-2</c:v>
                </c:pt>
                <c:pt idx="708">
                  <c:v>1.4270125073450046E-3</c:v>
                </c:pt>
                <c:pt idx="709">
                  <c:v>-1.1567476948868394E-2</c:v>
                </c:pt>
                <c:pt idx="710">
                  <c:v>-1.416214382632297E-2</c:v>
                </c:pt>
                <c:pt idx="711">
                  <c:v>5.1612903225806139E-3</c:v>
                </c:pt>
                <c:pt idx="712">
                  <c:v>-6.076166024818086E-3</c:v>
                </c:pt>
                <c:pt idx="713">
                  <c:v>1.437919752023431E-2</c:v>
                </c:pt>
                <c:pt idx="714">
                  <c:v>0.11611917494270441</c:v>
                </c:pt>
                <c:pt idx="715">
                  <c:v>-2.3195680279869291E-2</c:v>
                </c:pt>
                <c:pt idx="716">
                  <c:v>8.4864528184367405E-3</c:v>
                </c:pt>
                <c:pt idx="717">
                  <c:v>3.080367482436519E-2</c:v>
                </c:pt>
                <c:pt idx="718">
                  <c:v>-9.0623127621330957E-3</c:v>
                </c:pt>
                <c:pt idx="719">
                  <c:v>3.4011034691254771E-3</c:v>
                </c:pt>
                <c:pt idx="720">
                  <c:v>-2.4856884603795537E-3</c:v>
                </c:pt>
                <c:pt idx="721">
                  <c:v>1.2308389337763348E-2</c:v>
                </c:pt>
                <c:pt idx="722">
                  <c:v>-2.0886170371475776E-3</c:v>
                </c:pt>
                <c:pt idx="723">
                  <c:v>-1.1511436687098198E-2</c:v>
                </c:pt>
                <c:pt idx="724">
                  <c:v>-4.1591046581973545E-3</c:v>
                </c:pt>
                <c:pt idx="725">
                  <c:v>2.5058850330321292E-2</c:v>
                </c:pt>
                <c:pt idx="726">
                  <c:v>-2.2223868434699812E-3</c:v>
                </c:pt>
                <c:pt idx="727">
                  <c:v>-7.6471898433440044E-3</c:v>
                </c:pt>
                <c:pt idx="728">
                  <c:v>-1.7806374382762225E-2</c:v>
                </c:pt>
                <c:pt idx="729">
                  <c:v>-5.3321145642892809E-4</c:v>
                </c:pt>
                <c:pt idx="730">
                  <c:v>3.0485481289537208E-3</c:v>
                </c:pt>
                <c:pt idx="731">
                  <c:v>-4.4069599574501073E-3</c:v>
                </c:pt>
                <c:pt idx="732">
                  <c:v>-4.5027856216134365E-3</c:v>
                </c:pt>
                <c:pt idx="733">
                  <c:v>-3.449862005519666E-3</c:v>
                </c:pt>
                <c:pt idx="734">
                  <c:v>2.5386568197551806E-3</c:v>
                </c:pt>
                <c:pt idx="735">
                  <c:v>-2.7624309392264568E-3</c:v>
                </c:pt>
                <c:pt idx="736">
                  <c:v>-1.061865189289013E-2</c:v>
                </c:pt>
                <c:pt idx="737">
                  <c:v>-1.392129413594656E-2</c:v>
                </c:pt>
                <c:pt idx="738">
                  <c:v>6.3096458711253689E-3</c:v>
                </c:pt>
                <c:pt idx="739">
                  <c:v>2.5080335449485514E-3</c:v>
                </c:pt>
                <c:pt idx="740">
                  <c:v>-3.9871784848720671E-3</c:v>
                </c:pt>
                <c:pt idx="741">
                  <c:v>1.2794348508634146E-2</c:v>
                </c:pt>
                <c:pt idx="742">
                  <c:v>-9.9976749593118086E-3</c:v>
                </c:pt>
                <c:pt idx="743">
                  <c:v>-5.2450289650853188E-2</c:v>
                </c:pt>
                <c:pt idx="744">
                  <c:v>-4.4613350958361275E-3</c:v>
                </c:pt>
                <c:pt idx="745">
                  <c:v>2.4398340248962702E-2</c:v>
                </c:pt>
                <c:pt idx="746">
                  <c:v>8.1821127673364913E-3</c:v>
                </c:pt>
                <c:pt idx="747">
                  <c:v>2.0972278023302593E-2</c:v>
                </c:pt>
                <c:pt idx="748">
                  <c:v>7.6341885723281155E-3</c:v>
                </c:pt>
                <c:pt idx="749">
                  <c:v>-9.9195501054439861E-3</c:v>
                </c:pt>
                <c:pt idx="750">
                  <c:v>-7.9678131902808369E-3</c:v>
                </c:pt>
                <c:pt idx="751">
                  <c:v>-2.3856858846915685E-4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2-481D-AD53-92EF935D5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044292"/>
        <c:axId val="932734796"/>
      </c:lineChart>
      <c:catAx>
        <c:axId val="163004429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32734796"/>
        <c:crosses val="autoZero"/>
        <c:auto val="1"/>
        <c:lblAlgn val="ctr"/>
        <c:lblOffset val="100"/>
        <c:noMultiLvlLbl val="1"/>
      </c:catAx>
      <c:valAx>
        <c:axId val="932734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00442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IN" b="0">
                <a:solidFill>
                  <a:srgbClr val="000000"/>
                </a:solidFill>
                <a:latin typeface="+mn-lt"/>
              </a:rPr>
              <a:t>GS Daily Returns</a:t>
            </a:r>
          </a:p>
        </c:rich>
      </c:tx>
      <c:layout>
        <c:manualLayout>
          <c:xMode val="edge"/>
          <c:yMode val="edge"/>
          <c:x val="3.2583333333333332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chemeClr val="dk1"/>
              </a:solidFill>
            </a:ln>
          </c:spPr>
          <c:marker>
            <c:symbol val="none"/>
          </c:marker>
          <c:val>
            <c:numRef>
              <c:f>Sheet1!$J$7:$J$758</c:f>
              <c:numCache>
                <c:formatCode>0.00%</c:formatCode>
                <c:ptCount val="752"/>
                <c:pt idx="0">
                  <c:v>3.0733817317178058E-2</c:v>
                </c:pt>
                <c:pt idx="1">
                  <c:v>-2.171885736723278E-2</c:v>
                </c:pt>
                <c:pt idx="2">
                  <c:v>-4.2646062764969406E-3</c:v>
                </c:pt>
                <c:pt idx="3">
                  <c:v>1.4612148237724831E-3</c:v>
                </c:pt>
                <c:pt idx="4">
                  <c:v>4.1759955724385289E-3</c:v>
                </c:pt>
                <c:pt idx="5">
                  <c:v>9.7201693514041843E-3</c:v>
                </c:pt>
                <c:pt idx="6">
                  <c:v>-3.1608981515940937E-2</c:v>
                </c:pt>
                <c:pt idx="7">
                  <c:v>1.2554123645307502E-3</c:v>
                </c:pt>
                <c:pt idx="8">
                  <c:v>-2.5230296827021492E-2</c:v>
                </c:pt>
                <c:pt idx="9">
                  <c:v>-6.966976426733873E-2</c:v>
                </c:pt>
                <c:pt idx="10">
                  <c:v>-1.9977426636568762E-2</c:v>
                </c:pt>
                <c:pt idx="11">
                  <c:v>2.2457675918461373E-3</c:v>
                </c:pt>
                <c:pt idx="12">
                  <c:v>-1.2036771042803762E-2</c:v>
                </c:pt>
                <c:pt idx="13">
                  <c:v>-1.5120234945190658E-3</c:v>
                </c:pt>
                <c:pt idx="14">
                  <c:v>-5.3583389149363114E-3</c:v>
                </c:pt>
                <c:pt idx="15">
                  <c:v>3.3084467867077194E-3</c:v>
                </c:pt>
                <c:pt idx="16">
                  <c:v>-4.8149877436676203E-3</c:v>
                </c:pt>
                <c:pt idx="17">
                  <c:v>1.7535114212825942E-2</c:v>
                </c:pt>
                <c:pt idx="18">
                  <c:v>2.2103109420477773E-2</c:v>
                </c:pt>
                <c:pt idx="19">
                  <c:v>2.6446374196458677E-2</c:v>
                </c:pt>
                <c:pt idx="20">
                  <c:v>-2.7467999780256269E-3</c:v>
                </c:pt>
                <c:pt idx="21">
                  <c:v>-1.1513248498870698E-2</c:v>
                </c:pt>
                <c:pt idx="22">
                  <c:v>2.4297815425769143E-2</c:v>
                </c:pt>
                <c:pt idx="23">
                  <c:v>1.4961915125135672E-3</c:v>
                </c:pt>
                <c:pt idx="24">
                  <c:v>5.2967540404726954E-3</c:v>
                </c:pt>
                <c:pt idx="25">
                  <c:v>1.1969737908673173E-2</c:v>
                </c:pt>
                <c:pt idx="26">
                  <c:v>-1.0573251808933759E-2</c:v>
                </c:pt>
                <c:pt idx="27">
                  <c:v>-2.0266076584720794E-2</c:v>
                </c:pt>
                <c:pt idx="28">
                  <c:v>-7.7673111882333723E-3</c:v>
                </c:pt>
                <c:pt idx="29">
                  <c:v>1.027093049078398E-2</c:v>
                </c:pt>
                <c:pt idx="30">
                  <c:v>-1.0688575039841663E-2</c:v>
                </c:pt>
                <c:pt idx="31">
                  <c:v>-3.0523538397444816E-2</c:v>
                </c:pt>
                <c:pt idx="32">
                  <c:v>-8.6518077121411352E-3</c:v>
                </c:pt>
                <c:pt idx="33">
                  <c:v>-5.1150156051325002E-3</c:v>
                </c:pt>
                <c:pt idx="34">
                  <c:v>-8.9464664362273183E-3</c:v>
                </c:pt>
                <c:pt idx="35">
                  <c:v>-2.9309182566897851E-3</c:v>
                </c:pt>
                <c:pt idx="36">
                  <c:v>2.9189570534113418E-2</c:v>
                </c:pt>
                <c:pt idx="37">
                  <c:v>-2.5219924597280841E-2</c:v>
                </c:pt>
                <c:pt idx="38">
                  <c:v>-3.8354478595915564E-2</c:v>
                </c:pt>
                <c:pt idx="39">
                  <c:v>2.4923826934795779E-2</c:v>
                </c:pt>
                <c:pt idx="40">
                  <c:v>-8.7995719127177408E-3</c:v>
                </c:pt>
                <c:pt idx="41">
                  <c:v>-1.1247075760302372E-2</c:v>
                </c:pt>
                <c:pt idx="42">
                  <c:v>-2.359935693269033E-2</c:v>
                </c:pt>
                <c:pt idx="43">
                  <c:v>-1.6154586970703599E-3</c:v>
                </c:pt>
                <c:pt idx="44">
                  <c:v>3.8024706724336443E-2</c:v>
                </c:pt>
                <c:pt idx="45">
                  <c:v>-1.106148265835305E-2</c:v>
                </c:pt>
                <c:pt idx="46">
                  <c:v>-8.7905425886631861E-3</c:v>
                </c:pt>
                <c:pt idx="47">
                  <c:v>-6.177370030580942E-3</c:v>
                </c:pt>
                <c:pt idx="48">
                  <c:v>1.2862329989537846E-2</c:v>
                </c:pt>
                <c:pt idx="49">
                  <c:v>3.5241220075343138E-2</c:v>
                </c:pt>
                <c:pt idx="50">
                  <c:v>7.3658880150251349E-3</c:v>
                </c:pt>
                <c:pt idx="51">
                  <c:v>6.1467649372215494E-3</c:v>
                </c:pt>
                <c:pt idx="52">
                  <c:v>-1.8472407203659724E-2</c:v>
                </c:pt>
                <c:pt idx="53">
                  <c:v>1.1828908554572193E-2</c:v>
                </c:pt>
                <c:pt idx="54">
                  <c:v>-2.15737150520392E-2</c:v>
                </c:pt>
                <c:pt idx="55">
                  <c:v>1.8473823783557997E-3</c:v>
                </c:pt>
                <c:pt idx="56">
                  <c:v>3.7474347916603978E-3</c:v>
                </c:pt>
                <c:pt idx="57">
                  <c:v>-6.4890811579602081E-3</c:v>
                </c:pt>
                <c:pt idx="58">
                  <c:v>1.3003280644199311E-2</c:v>
                </c:pt>
                <c:pt idx="59">
                  <c:v>-1.1982570806100323E-2</c:v>
                </c:pt>
                <c:pt idx="60">
                  <c:v>-1.6359247891772566E-2</c:v>
                </c:pt>
                <c:pt idx="61">
                  <c:v>3.6352620418056425E-4</c:v>
                </c:pt>
                <c:pt idx="62">
                  <c:v>-6.0868511901158717E-3</c:v>
                </c:pt>
                <c:pt idx="63">
                  <c:v>-1.294902653788732E-2</c:v>
                </c:pt>
                <c:pt idx="64">
                  <c:v>-2.3768366464995694E-2</c:v>
                </c:pt>
                <c:pt idx="65">
                  <c:v>-6.6717257952317865E-3</c:v>
                </c:pt>
                <c:pt idx="66">
                  <c:v>2.3046315454400723E-2</c:v>
                </c:pt>
                <c:pt idx="67">
                  <c:v>-1.9602352282274138E-3</c:v>
                </c:pt>
                <c:pt idx="68">
                  <c:v>-3.0552437959845413E-3</c:v>
                </c:pt>
                <c:pt idx="69">
                  <c:v>6.8484583150918432E-3</c:v>
                </c:pt>
                <c:pt idx="70">
                  <c:v>-1.0249402118210904E-3</c:v>
                </c:pt>
                <c:pt idx="71">
                  <c:v>2.5618704141276094E-2</c:v>
                </c:pt>
                <c:pt idx="72">
                  <c:v>1.8400630532314777E-2</c:v>
                </c:pt>
                <c:pt idx="73">
                  <c:v>1.5210596815002253E-2</c:v>
                </c:pt>
                <c:pt idx="74">
                  <c:v>-1.9820559432357943E-2</c:v>
                </c:pt>
                <c:pt idx="75">
                  <c:v>-4.3463954531857696E-2</c:v>
                </c:pt>
                <c:pt idx="76">
                  <c:v>5.159958720330371E-3</c:v>
                </c:pt>
                <c:pt idx="77">
                  <c:v>-2.5822910833177781E-2</c:v>
                </c:pt>
                <c:pt idx="78">
                  <c:v>3.513030148185603E-4</c:v>
                </c:pt>
                <c:pt idx="79">
                  <c:v>1.6537368706701194E-2</c:v>
                </c:pt>
                <c:pt idx="80">
                  <c:v>-4.0576615056059806E-2</c:v>
                </c:pt>
                <c:pt idx="81">
                  <c:v>1.6138007790762465E-2</c:v>
                </c:pt>
                <c:pt idx="82">
                  <c:v>1.365891372978556E-2</c:v>
                </c:pt>
                <c:pt idx="83">
                  <c:v>3.0032415941015689E-2</c:v>
                </c:pt>
                <c:pt idx="84">
                  <c:v>-3.4062509641788363E-2</c:v>
                </c:pt>
                <c:pt idx="85">
                  <c:v>-3.5135912096340149E-4</c:v>
                </c:pt>
                <c:pt idx="86">
                  <c:v>-1.3004856850715729E-2</c:v>
                </c:pt>
                <c:pt idx="87">
                  <c:v>-1.2399235973971301E-2</c:v>
                </c:pt>
                <c:pt idx="88">
                  <c:v>-1.1505933259030932E-2</c:v>
                </c:pt>
                <c:pt idx="89">
                  <c:v>-7.0966672193665259E-3</c:v>
                </c:pt>
                <c:pt idx="90">
                  <c:v>2.5316455696202445E-2</c:v>
                </c:pt>
                <c:pt idx="91">
                  <c:v>-1.1563894589400325E-2</c:v>
                </c:pt>
                <c:pt idx="92">
                  <c:v>3.1406538360137182E-2</c:v>
                </c:pt>
                <c:pt idx="93">
                  <c:v>-1.9938013228104956E-2</c:v>
                </c:pt>
                <c:pt idx="94">
                  <c:v>4.7924885078081125E-3</c:v>
                </c:pt>
                <c:pt idx="95">
                  <c:v>-4.5425048669693879E-3</c:v>
                </c:pt>
                <c:pt idx="96">
                  <c:v>3.1975228161668756E-2</c:v>
                </c:pt>
                <c:pt idx="97">
                  <c:v>-8.4015034269291355E-3</c:v>
                </c:pt>
                <c:pt idx="98">
                  <c:v>3.0259595476986867E-3</c:v>
                </c:pt>
                <c:pt idx="99">
                  <c:v>2.7723086694188659E-2</c:v>
                </c:pt>
                <c:pt idx="100">
                  <c:v>1.5295244569415667E-2</c:v>
                </c:pt>
                <c:pt idx="101">
                  <c:v>-5.2650800413901466E-3</c:v>
                </c:pt>
                <c:pt idx="102">
                  <c:v>-1.529753709652748E-2</c:v>
                </c:pt>
                <c:pt idx="103">
                  <c:v>7.4568898555227303E-3</c:v>
                </c:pt>
                <c:pt idx="104">
                  <c:v>-1.7178103315343085E-2</c:v>
                </c:pt>
                <c:pt idx="105">
                  <c:v>5.7424375549139928E-3</c:v>
                </c:pt>
                <c:pt idx="106">
                  <c:v>3.1200274562415142E-3</c:v>
                </c:pt>
                <c:pt idx="107">
                  <c:v>-2.1243507200398026E-2</c:v>
                </c:pt>
                <c:pt idx="108">
                  <c:v>-3.3240116944197262E-2</c:v>
                </c:pt>
                <c:pt idx="109">
                  <c:v>-5.6538031687594636E-2</c:v>
                </c:pt>
                <c:pt idx="110">
                  <c:v>-1.2891087729078099E-2</c:v>
                </c:pt>
                <c:pt idx="111">
                  <c:v>-2.753070732740226E-3</c:v>
                </c:pt>
                <c:pt idx="112">
                  <c:v>2.6651093650456481E-2</c:v>
                </c:pt>
                <c:pt idx="113">
                  <c:v>-1.7547488537249523E-2</c:v>
                </c:pt>
                <c:pt idx="114">
                  <c:v>-1.821180433714642E-2</c:v>
                </c:pt>
                <c:pt idx="115">
                  <c:v>1.7942027949533479E-2</c:v>
                </c:pt>
                <c:pt idx="116">
                  <c:v>-9.4800042133347251E-4</c:v>
                </c:pt>
                <c:pt idx="117">
                  <c:v>5.7285443171435357E-3</c:v>
                </c:pt>
                <c:pt idx="118">
                  <c:v>5.7937589544676094E-2</c:v>
                </c:pt>
                <c:pt idx="119">
                  <c:v>-6.5070189925682254E-3</c:v>
                </c:pt>
                <c:pt idx="120">
                  <c:v>-4.2888489926190543E-3</c:v>
                </c:pt>
                <c:pt idx="121">
                  <c:v>1.2654846572506484E-2</c:v>
                </c:pt>
                <c:pt idx="122">
                  <c:v>-2.0640991822738042E-2</c:v>
                </c:pt>
                <c:pt idx="123">
                  <c:v>7.4405763921623347E-3</c:v>
                </c:pt>
                <c:pt idx="124">
                  <c:v>-6.7840791364502939E-3</c:v>
                </c:pt>
                <c:pt idx="125">
                  <c:v>-1.1574697173620474E-2</c:v>
                </c:pt>
                <c:pt idx="126">
                  <c:v>1.6476034858387889E-2</c:v>
                </c:pt>
                <c:pt idx="127">
                  <c:v>-7.1332886805089979E-3</c:v>
                </c:pt>
                <c:pt idx="128">
                  <c:v>-1.1097244240564019E-2</c:v>
                </c:pt>
                <c:pt idx="129">
                  <c:v>-2.217068012824952E-3</c:v>
                </c:pt>
                <c:pt idx="130">
                  <c:v>-8.1359176836564018E-3</c:v>
                </c:pt>
                <c:pt idx="131">
                  <c:v>-2.9501981733586091E-2</c:v>
                </c:pt>
                <c:pt idx="132">
                  <c:v>4.3609503178380082E-2</c:v>
                </c:pt>
                <c:pt idx="133">
                  <c:v>2.5147173920440968E-2</c:v>
                </c:pt>
                <c:pt idx="134">
                  <c:v>5.5732589789550646E-2</c:v>
                </c:pt>
                <c:pt idx="135">
                  <c:v>1.069014305926741E-2</c:v>
                </c:pt>
                <c:pt idx="136">
                  <c:v>1.5834499922227518E-2</c:v>
                </c:pt>
                <c:pt idx="137">
                  <c:v>-7.9928952042629398E-3</c:v>
                </c:pt>
                <c:pt idx="138">
                  <c:v>5.8654647609057697E-4</c:v>
                </c:pt>
                <c:pt idx="139">
                  <c:v>-1.718499321239042E-2</c:v>
                </c:pt>
                <c:pt idx="140">
                  <c:v>1.880395542301061E-2</c:v>
                </c:pt>
                <c:pt idx="141">
                  <c:v>1.4081469156344451E-2</c:v>
                </c:pt>
                <c:pt idx="142">
                  <c:v>1.3004770441493729E-2</c:v>
                </c:pt>
                <c:pt idx="143">
                  <c:v>-3.9293320135577181E-3</c:v>
                </c:pt>
                <c:pt idx="144">
                  <c:v>-1.2647554806070826E-2</c:v>
                </c:pt>
                <c:pt idx="145">
                  <c:v>1.6133951445650885E-2</c:v>
                </c:pt>
                <c:pt idx="146">
                  <c:v>-3.9019119368490784E-3</c:v>
                </c:pt>
                <c:pt idx="147">
                  <c:v>8.4370385994516628E-3</c:v>
                </c:pt>
                <c:pt idx="148">
                  <c:v>2.9880180476338225E-5</c:v>
                </c:pt>
                <c:pt idx="149">
                  <c:v>5.7965818094896093E-3</c:v>
                </c:pt>
                <c:pt idx="150">
                  <c:v>3.3539302477571198E-2</c:v>
                </c:pt>
                <c:pt idx="151">
                  <c:v>1.0836135782242406E-2</c:v>
                </c:pt>
                <c:pt idx="152">
                  <c:v>6.0850773430389804E-3</c:v>
                </c:pt>
                <c:pt idx="153">
                  <c:v>5.7373805890001961E-3</c:v>
                </c:pt>
                <c:pt idx="154">
                  <c:v>-2.4729520865532928E-3</c:v>
                </c:pt>
                <c:pt idx="155">
                  <c:v>-3.4650815561878545E-3</c:v>
                </c:pt>
                <c:pt idx="156">
                  <c:v>2.2050093288854544E-3</c:v>
                </c:pt>
                <c:pt idx="157">
                  <c:v>-1.4808755500394954E-2</c:v>
                </c:pt>
                <c:pt idx="158">
                  <c:v>-1.9612334297248402E-2</c:v>
                </c:pt>
                <c:pt idx="159">
                  <c:v>-6.5416739676421587E-3</c:v>
                </c:pt>
                <c:pt idx="160">
                  <c:v>5.1737315538831208E-3</c:v>
                </c:pt>
                <c:pt idx="161">
                  <c:v>1.3306428028309059E-2</c:v>
                </c:pt>
                <c:pt idx="162">
                  <c:v>-2.9120609541400944E-2</c:v>
                </c:pt>
                <c:pt idx="163">
                  <c:v>-7.3721759809749488E-3</c:v>
                </c:pt>
                <c:pt idx="164">
                  <c:v>-8.6847149017732495E-4</c:v>
                </c:pt>
                <c:pt idx="165">
                  <c:v>-2.877439079219446E-3</c:v>
                </c:pt>
                <c:pt idx="166">
                  <c:v>2.4949649803107654E-3</c:v>
                </c:pt>
                <c:pt idx="167">
                  <c:v>-6.0569715142427816E-3</c:v>
                </c:pt>
                <c:pt idx="168">
                  <c:v>-1.5053698564015949E-2</c:v>
                </c:pt>
                <c:pt idx="169">
                  <c:v>1.2465925449477666E-2</c:v>
                </c:pt>
                <c:pt idx="170">
                  <c:v>1.4581316553726964E-2</c:v>
                </c:pt>
                <c:pt idx="171">
                  <c:v>1.407358816864468E-2</c:v>
                </c:pt>
                <c:pt idx="172">
                  <c:v>7.2919729491325302E-3</c:v>
                </c:pt>
                <c:pt idx="173">
                  <c:v>-4.1420981960417991E-2</c:v>
                </c:pt>
                <c:pt idx="174">
                  <c:v>-3.4410304820488014E-3</c:v>
                </c:pt>
                <c:pt idx="175">
                  <c:v>1.332274032879055E-2</c:v>
                </c:pt>
                <c:pt idx="176">
                  <c:v>-1.6313853205476181E-2</c:v>
                </c:pt>
                <c:pt idx="177">
                  <c:v>7.5104993715706669E-3</c:v>
                </c:pt>
                <c:pt idx="178">
                  <c:v>-1.6430353556867394E-2</c:v>
                </c:pt>
                <c:pt idx="179">
                  <c:v>-7.888387056858237E-3</c:v>
                </c:pt>
                <c:pt idx="180">
                  <c:v>-2.4289856880047256E-2</c:v>
                </c:pt>
                <c:pt idx="181">
                  <c:v>-3.4992969449060385E-2</c:v>
                </c:pt>
                <c:pt idx="182">
                  <c:v>-2.4340166241679673E-2</c:v>
                </c:pt>
                <c:pt idx="183">
                  <c:v>-1.0997216753784622E-2</c:v>
                </c:pt>
                <c:pt idx="184">
                  <c:v>3.2294598119294582E-2</c:v>
                </c:pt>
                <c:pt idx="185">
                  <c:v>-1.5559027893214505E-2</c:v>
                </c:pt>
                <c:pt idx="186">
                  <c:v>-1.0333997500928671E-2</c:v>
                </c:pt>
                <c:pt idx="187">
                  <c:v>2.0815560484558793E-2</c:v>
                </c:pt>
                <c:pt idx="188">
                  <c:v>5.2548888517466308E-2</c:v>
                </c:pt>
                <c:pt idx="189">
                  <c:v>-1.8642614412297198E-2</c:v>
                </c:pt>
                <c:pt idx="190">
                  <c:v>-1.4012944983818665E-2</c:v>
                </c:pt>
                <c:pt idx="191">
                  <c:v>-1.1783240883579071E-2</c:v>
                </c:pt>
                <c:pt idx="192">
                  <c:v>-1.7935432443203503E-3</c:v>
                </c:pt>
                <c:pt idx="193">
                  <c:v>-2.1062088241166066E-2</c:v>
                </c:pt>
                <c:pt idx="194">
                  <c:v>3.7388260086332892E-3</c:v>
                </c:pt>
                <c:pt idx="195">
                  <c:v>3.9822559344417696E-2</c:v>
                </c:pt>
                <c:pt idx="196">
                  <c:v>-2.3056632038297442E-2</c:v>
                </c:pt>
                <c:pt idx="197">
                  <c:v>2.2400746691556339E-2</c:v>
                </c:pt>
                <c:pt idx="198">
                  <c:v>2.3279319226631179E-2</c:v>
                </c:pt>
                <c:pt idx="199">
                  <c:v>-6.6592321172536106E-3</c:v>
                </c:pt>
                <c:pt idx="200">
                  <c:v>-3.0472158070310451E-3</c:v>
                </c:pt>
                <c:pt idx="201">
                  <c:v>4.5976641678195707E-2</c:v>
                </c:pt>
                <c:pt idx="202">
                  <c:v>1.107351584127958E-2</c:v>
                </c:pt>
                <c:pt idx="203">
                  <c:v>1.1256464861575832E-2</c:v>
                </c:pt>
                <c:pt idx="204">
                  <c:v>9.8977135980746755E-3</c:v>
                </c:pt>
                <c:pt idx="205">
                  <c:v>4.4386189639251672E-3</c:v>
                </c:pt>
                <c:pt idx="206">
                  <c:v>1.3761195800462644E-2</c:v>
                </c:pt>
                <c:pt idx="207">
                  <c:v>7.8696389912820131E-3</c:v>
                </c:pt>
                <c:pt idx="208">
                  <c:v>1.1813880584017777E-2</c:v>
                </c:pt>
                <c:pt idx="209">
                  <c:v>3.4712261173905912E-3</c:v>
                </c:pt>
                <c:pt idx="210">
                  <c:v>-2.630149518282443E-3</c:v>
                </c:pt>
                <c:pt idx="211">
                  <c:v>2.5912230916960599E-2</c:v>
                </c:pt>
                <c:pt idx="212">
                  <c:v>1.2992092984269732E-2</c:v>
                </c:pt>
                <c:pt idx="213">
                  <c:v>4.0269196822593223E-3</c:v>
                </c:pt>
                <c:pt idx="214">
                  <c:v>-5.5491456513377946E-3</c:v>
                </c:pt>
                <c:pt idx="215">
                  <c:v>4.5055248618784516E-2</c:v>
                </c:pt>
                <c:pt idx="216">
                  <c:v>1.8133276942190246E-2</c:v>
                </c:pt>
                <c:pt idx="217">
                  <c:v>-7.2954799179583141E-3</c:v>
                </c:pt>
                <c:pt idx="218">
                  <c:v>1.3599748927710653E-3</c:v>
                </c:pt>
                <c:pt idx="219">
                  <c:v>-1.4364814040953577E-3</c:v>
                </c:pt>
                <c:pt idx="220">
                  <c:v>-6.6696309470876125E-3</c:v>
                </c:pt>
                <c:pt idx="221">
                  <c:v>-1.5271999578703177E-3</c:v>
                </c:pt>
                <c:pt idx="222">
                  <c:v>2.663502109704563E-3</c:v>
                </c:pt>
                <c:pt idx="223">
                  <c:v>9.6262591725626567E-3</c:v>
                </c:pt>
                <c:pt idx="224">
                  <c:v>6.2000156302914888E-3</c:v>
                </c:pt>
                <c:pt idx="225">
                  <c:v>6.7572815533980535E-3</c:v>
                </c:pt>
                <c:pt idx="226">
                  <c:v>-1.6715527439181144E-2</c:v>
                </c:pt>
                <c:pt idx="227">
                  <c:v>3.5307040485406116E-3</c:v>
                </c:pt>
                <c:pt idx="228">
                  <c:v>6.35896901305677E-3</c:v>
                </c:pt>
                <c:pt idx="229">
                  <c:v>-6.0598213129612333E-3</c:v>
                </c:pt>
                <c:pt idx="230">
                  <c:v>-8.4156223131237606E-3</c:v>
                </c:pt>
                <c:pt idx="231">
                  <c:v>-2.375321877134895E-2</c:v>
                </c:pt>
                <c:pt idx="232">
                  <c:v>-2.322764709048819E-2</c:v>
                </c:pt>
                <c:pt idx="233">
                  <c:v>-8.2389573172412245E-3</c:v>
                </c:pt>
                <c:pt idx="234">
                  <c:v>-5.1122471660369762E-3</c:v>
                </c:pt>
                <c:pt idx="235">
                  <c:v>2.9602323503128414E-3</c:v>
                </c:pt>
                <c:pt idx="236">
                  <c:v>1.1249095060422265E-2</c:v>
                </c:pt>
                <c:pt idx="237">
                  <c:v>1.5171540283055229E-2</c:v>
                </c:pt>
                <c:pt idx="238">
                  <c:v>-2.2539260625457747E-2</c:v>
                </c:pt>
                <c:pt idx="239">
                  <c:v>-2.9274654531328048E-2</c:v>
                </c:pt>
                <c:pt idx="240">
                  <c:v>-9.9476888774546746E-3</c:v>
                </c:pt>
                <c:pt idx="241">
                  <c:v>-5.0238198354266572E-3</c:v>
                </c:pt>
                <c:pt idx="242">
                  <c:v>-3.482197266475584E-4</c:v>
                </c:pt>
                <c:pt idx="243">
                  <c:v>1.6459113472089282E-2</c:v>
                </c:pt>
                <c:pt idx="244">
                  <c:v>-1.3079734978295732E-2</c:v>
                </c:pt>
                <c:pt idx="245">
                  <c:v>-2.0255801840385335E-4</c:v>
                </c:pt>
                <c:pt idx="246">
                  <c:v>-1.0245723712772326E-2</c:v>
                </c:pt>
                <c:pt idx="247">
                  <c:v>-3.2166564318507618E-3</c:v>
                </c:pt>
                <c:pt idx="248">
                  <c:v>7.510194502302836E-3</c:v>
                </c:pt>
                <c:pt idx="249">
                  <c:v>-1.4559007658043743E-4</c:v>
                </c:pt>
                <c:pt idx="250">
                  <c:v>8.2707204845944293E-3</c:v>
                </c:pt>
                <c:pt idx="251">
                  <c:v>4.2747386055108638E-3</c:v>
                </c:pt>
                <c:pt idx="252">
                  <c:v>-1.1331607707794067E-2</c:v>
                </c:pt>
                <c:pt idx="253">
                  <c:v>1.2566907144519357E-2</c:v>
                </c:pt>
                <c:pt idx="254">
                  <c:v>1.4134681682371975E-2</c:v>
                </c:pt>
                <c:pt idx="255">
                  <c:v>1.2351274787535393E-2</c:v>
                </c:pt>
                <c:pt idx="256">
                  <c:v>1.9923886277143588E-2</c:v>
                </c:pt>
                <c:pt idx="257">
                  <c:v>1.4980245829675054E-2</c:v>
                </c:pt>
                <c:pt idx="258">
                  <c:v>1.0974752662593845E-2</c:v>
                </c:pt>
                <c:pt idx="259">
                  <c:v>-6.4385026737967865E-2</c:v>
                </c:pt>
                <c:pt idx="260">
                  <c:v>-2.3719707361683495E-3</c:v>
                </c:pt>
                <c:pt idx="261">
                  <c:v>4.7552207167207428E-3</c:v>
                </c:pt>
                <c:pt idx="262">
                  <c:v>-2.5402708481824687E-2</c:v>
                </c:pt>
                <c:pt idx="263">
                  <c:v>2.1355019892347338E-2</c:v>
                </c:pt>
                <c:pt idx="264">
                  <c:v>-2.3199862519333037E-3</c:v>
                </c:pt>
                <c:pt idx="265">
                  <c:v>3.7320931300779403E-3</c:v>
                </c:pt>
                <c:pt idx="266">
                  <c:v>1.5273288905414351E-2</c:v>
                </c:pt>
                <c:pt idx="267">
                  <c:v>-3.577767135250931E-3</c:v>
                </c:pt>
                <c:pt idx="268">
                  <c:v>1.0630477806050198E-2</c:v>
                </c:pt>
                <c:pt idx="269">
                  <c:v>2.3359256979802012E-2</c:v>
                </c:pt>
                <c:pt idx="270">
                  <c:v>-2.733659550040457E-4</c:v>
                </c:pt>
                <c:pt idx="271">
                  <c:v>1.0281370484810592E-2</c:v>
                </c:pt>
                <c:pt idx="272">
                  <c:v>1.2991582537147384E-3</c:v>
                </c:pt>
                <c:pt idx="273">
                  <c:v>2.2976077848357868E-3</c:v>
                </c:pt>
                <c:pt idx="274">
                  <c:v>9.7087378640776656E-3</c:v>
                </c:pt>
                <c:pt idx="275">
                  <c:v>1.869658119658224E-3</c:v>
                </c:pt>
                <c:pt idx="276">
                  <c:v>-1.8954945347907315E-2</c:v>
                </c:pt>
                <c:pt idx="277">
                  <c:v>8.940460338596079E-3</c:v>
                </c:pt>
                <c:pt idx="278">
                  <c:v>7.3798750269338242E-3</c:v>
                </c:pt>
                <c:pt idx="279">
                  <c:v>-5.9889845462809399E-3</c:v>
                </c:pt>
                <c:pt idx="280">
                  <c:v>6.8857926730863106E-3</c:v>
                </c:pt>
                <c:pt idx="281">
                  <c:v>-1.1059464657797724E-2</c:v>
                </c:pt>
                <c:pt idx="282">
                  <c:v>-4.5921123716909928E-3</c:v>
                </c:pt>
                <c:pt idx="283">
                  <c:v>-2.0027137042062382E-2</c:v>
                </c:pt>
                <c:pt idx="284">
                  <c:v>-6.3690739920252426E-4</c:v>
                </c:pt>
                <c:pt idx="285">
                  <c:v>7.3429576879382452E-3</c:v>
                </c:pt>
                <c:pt idx="286">
                  <c:v>8.5272597238272851E-4</c:v>
                </c:pt>
                <c:pt idx="287">
                  <c:v>4.6172873436853834E-3</c:v>
                </c:pt>
                <c:pt idx="288">
                  <c:v>-3.7972259458867952E-2</c:v>
                </c:pt>
                <c:pt idx="289">
                  <c:v>-1.5413052751315104E-2</c:v>
                </c:pt>
                <c:pt idx="290">
                  <c:v>8.2892874678681672E-3</c:v>
                </c:pt>
                <c:pt idx="291">
                  <c:v>2.2887424806645518E-2</c:v>
                </c:pt>
                <c:pt idx="292">
                  <c:v>-1.1201657845349988E-4</c:v>
                </c:pt>
                <c:pt idx="293">
                  <c:v>-3.0723988236941668E-2</c:v>
                </c:pt>
                <c:pt idx="294">
                  <c:v>9.2753120665742816E-3</c:v>
                </c:pt>
                <c:pt idx="295">
                  <c:v>-2.061324400927611E-2</c:v>
                </c:pt>
                <c:pt idx="296">
                  <c:v>-4.2152649887456373E-2</c:v>
                </c:pt>
                <c:pt idx="297">
                  <c:v>-3.7110507522812641E-2</c:v>
                </c:pt>
                <c:pt idx="298">
                  <c:v>2.1045291749865358E-2</c:v>
                </c:pt>
                <c:pt idx="299">
                  <c:v>-3.0917274561539587E-2</c:v>
                </c:pt>
                <c:pt idx="300">
                  <c:v>9.2892149011818415E-3</c:v>
                </c:pt>
                <c:pt idx="301">
                  <c:v>-3.6656193468532661E-2</c:v>
                </c:pt>
                <c:pt idx="302">
                  <c:v>1.973380773538902E-2</c:v>
                </c:pt>
                <c:pt idx="303">
                  <c:v>2.5037960779245916E-2</c:v>
                </c:pt>
                <c:pt idx="304">
                  <c:v>-1.1377962682803666E-2</c:v>
                </c:pt>
                <c:pt idx="305">
                  <c:v>3.7619153887844536E-3</c:v>
                </c:pt>
                <c:pt idx="306">
                  <c:v>-7.241543592186872E-3</c:v>
                </c:pt>
                <c:pt idx="307">
                  <c:v>1.9067728828742192E-2</c:v>
                </c:pt>
                <c:pt idx="308">
                  <c:v>-2.825479546666454E-4</c:v>
                </c:pt>
                <c:pt idx="309">
                  <c:v>7.1599045346062429E-3</c:v>
                </c:pt>
                <c:pt idx="310">
                  <c:v>1.3095535046145912E-3</c:v>
                </c:pt>
                <c:pt idx="311">
                  <c:v>1.8590023042909687E-2</c:v>
                </c:pt>
                <c:pt idx="312">
                  <c:v>-1.8036746048730734E-3</c:v>
                </c:pt>
                <c:pt idx="313">
                  <c:v>-1.1852260198456421E-2</c:v>
                </c:pt>
                <c:pt idx="314">
                  <c:v>-3.4712536804587524E-3</c:v>
                </c:pt>
                <c:pt idx="315">
                  <c:v>2.7058128323951269E-3</c:v>
                </c:pt>
                <c:pt idx="316">
                  <c:v>7.9404466501240556E-3</c:v>
                </c:pt>
                <c:pt idx="317">
                  <c:v>7.4162973904481344E-3</c:v>
                </c:pt>
                <c:pt idx="318">
                  <c:v>8.7668387451507179E-3</c:v>
                </c:pt>
                <c:pt idx="319">
                  <c:v>5.7231104651163101E-3</c:v>
                </c:pt>
                <c:pt idx="320">
                  <c:v>1.4422063649775829E-2</c:v>
                </c:pt>
                <c:pt idx="321">
                  <c:v>8.1918556333846482E-3</c:v>
                </c:pt>
                <c:pt idx="322">
                  <c:v>-1.6986575600565157E-2</c:v>
                </c:pt>
                <c:pt idx="323">
                  <c:v>8.9245605103169812E-3</c:v>
                </c:pt>
                <c:pt idx="324">
                  <c:v>5.402356852385104E-3</c:v>
                </c:pt>
                <c:pt idx="325">
                  <c:v>8.7095155147471903E-3</c:v>
                </c:pt>
                <c:pt idx="326">
                  <c:v>6.731838670022805E-3</c:v>
                </c:pt>
                <c:pt idx="327">
                  <c:v>-1.3024770322130341E-2</c:v>
                </c:pt>
                <c:pt idx="328">
                  <c:v>-8.6013903617297993E-3</c:v>
                </c:pt>
                <c:pt idx="329">
                  <c:v>1.4975041597337757E-2</c:v>
                </c:pt>
                <c:pt idx="330">
                  <c:v>5.3864168618267261E-3</c:v>
                </c:pt>
                <c:pt idx="331">
                  <c:v>-8.3566270673188781E-3</c:v>
                </c:pt>
                <c:pt idx="332">
                  <c:v>-2.1141028276125295E-2</c:v>
                </c:pt>
                <c:pt idx="333">
                  <c:v>-1.4158442571317265E-2</c:v>
                </c:pt>
                <c:pt idx="334">
                  <c:v>-2.2485927278259488E-2</c:v>
                </c:pt>
                <c:pt idx="335">
                  <c:v>1.7929402975782827E-2</c:v>
                </c:pt>
                <c:pt idx="336">
                  <c:v>-1.5595376429575758E-3</c:v>
                </c:pt>
                <c:pt idx="337">
                  <c:v>-5.329086398578986E-3</c:v>
                </c:pt>
                <c:pt idx="338">
                  <c:v>-6.8356067370753948E-3</c:v>
                </c:pt>
                <c:pt idx="339">
                  <c:v>-5.6735389862035968E-3</c:v>
                </c:pt>
                <c:pt idx="340">
                  <c:v>-3.8039411324520822E-3</c:v>
                </c:pt>
                <c:pt idx="341">
                  <c:v>8.0438184663536028E-3</c:v>
                </c:pt>
                <c:pt idx="342">
                  <c:v>-3.9121930015213469E-3</c:v>
                </c:pt>
                <c:pt idx="343">
                  <c:v>2.920731897384754E-2</c:v>
                </c:pt>
                <c:pt idx="344">
                  <c:v>-1.8171906232964385E-3</c:v>
                </c:pt>
                <c:pt idx="345">
                  <c:v>-1.0407184901996547E-2</c:v>
                </c:pt>
                <c:pt idx="346">
                  <c:v>-3.7712708876282974E-3</c:v>
                </c:pt>
                <c:pt idx="347">
                  <c:v>-4.1548688908039644E-3</c:v>
                </c:pt>
                <c:pt idx="348">
                  <c:v>-1.1620360354791859E-2</c:v>
                </c:pt>
                <c:pt idx="349">
                  <c:v>1.2726306244332575E-2</c:v>
                </c:pt>
                <c:pt idx="350">
                  <c:v>2.5101889588736492E-2</c:v>
                </c:pt>
                <c:pt idx="351">
                  <c:v>-3.5541098159693751E-3</c:v>
                </c:pt>
                <c:pt idx="352">
                  <c:v>-2.0947314330623024E-2</c:v>
                </c:pt>
                <c:pt idx="353">
                  <c:v>-2.3155294844087737E-2</c:v>
                </c:pt>
                <c:pt idx="354">
                  <c:v>2.2914032869784995E-2</c:v>
                </c:pt>
                <c:pt idx="355">
                  <c:v>-5.685153715433211E-3</c:v>
                </c:pt>
                <c:pt idx="356">
                  <c:v>1.550604393897026E-2</c:v>
                </c:pt>
                <c:pt idx="357">
                  <c:v>2.7386780905752639E-2</c:v>
                </c:pt>
                <c:pt idx="358">
                  <c:v>-8.3395383469830886E-4</c:v>
                </c:pt>
                <c:pt idx="359">
                  <c:v>1.6394908635644079E-3</c:v>
                </c:pt>
                <c:pt idx="360">
                  <c:v>1.0326766263913045E-2</c:v>
                </c:pt>
                <c:pt idx="361">
                  <c:v>8.8662405372765818E-3</c:v>
                </c:pt>
                <c:pt idx="362">
                  <c:v>-1.1912408759124027E-2</c:v>
                </c:pt>
                <c:pt idx="363">
                  <c:v>3.9004786951124526E-3</c:v>
                </c:pt>
                <c:pt idx="364">
                  <c:v>-4.2091010772944415E-3</c:v>
                </c:pt>
                <c:pt idx="365">
                  <c:v>-2.2435044781413449E-2</c:v>
                </c:pt>
                <c:pt idx="366">
                  <c:v>-1.7083938074504257E-2</c:v>
                </c:pt>
                <c:pt idx="367">
                  <c:v>-1.688867013258688E-2</c:v>
                </c:pt>
                <c:pt idx="368">
                  <c:v>-1.5238750860504413E-2</c:v>
                </c:pt>
                <c:pt idx="369">
                  <c:v>-7.467192018048241E-3</c:v>
                </c:pt>
                <c:pt idx="370">
                  <c:v>3.489563324369227E-3</c:v>
                </c:pt>
                <c:pt idx="371">
                  <c:v>6.6996331153301725E-4</c:v>
                </c:pt>
                <c:pt idx="372">
                  <c:v>3.0064400943696779E-2</c:v>
                </c:pt>
                <c:pt idx="373">
                  <c:v>-1.7023120492740684E-3</c:v>
                </c:pt>
                <c:pt idx="374">
                  <c:v>1.2618589942332781E-2</c:v>
                </c:pt>
                <c:pt idx="375">
                  <c:v>-2.0085116805976577E-2</c:v>
                </c:pt>
                <c:pt idx="376">
                  <c:v>-2.2027808154975848E-2</c:v>
                </c:pt>
                <c:pt idx="377">
                  <c:v>6.9329073482429227E-3</c:v>
                </c:pt>
                <c:pt idx="378">
                  <c:v>4.1247580670749073E-3</c:v>
                </c:pt>
                <c:pt idx="379">
                  <c:v>1.3934970139349634E-2</c:v>
                </c:pt>
                <c:pt idx="380">
                  <c:v>1.7202692595362779E-2</c:v>
                </c:pt>
                <c:pt idx="381">
                  <c:v>6.985294117647145E-3</c:v>
                </c:pt>
                <c:pt idx="382">
                  <c:v>-7.575757575757569E-3</c:v>
                </c:pt>
                <c:pt idx="383">
                  <c:v>3.0963548851896672E-3</c:v>
                </c:pt>
                <c:pt idx="384">
                  <c:v>3.0776283618581868E-2</c:v>
                </c:pt>
                <c:pt idx="385">
                  <c:v>9.7251460254397237E-3</c:v>
                </c:pt>
                <c:pt idx="386">
                  <c:v>3.0274555865511754E-2</c:v>
                </c:pt>
                <c:pt idx="387">
                  <c:v>3.1351536225274756E-3</c:v>
                </c:pt>
                <c:pt idx="388">
                  <c:v>1.9803386748494134E-2</c:v>
                </c:pt>
                <c:pt idx="389">
                  <c:v>-1.1785027721282759E-2</c:v>
                </c:pt>
                <c:pt idx="390">
                  <c:v>8.063151959402326E-3</c:v>
                </c:pt>
                <c:pt idx="391">
                  <c:v>-8.5300369168811452E-3</c:v>
                </c:pt>
                <c:pt idx="392">
                  <c:v>-3.61061747200353E-3</c:v>
                </c:pt>
                <c:pt idx="393">
                  <c:v>7.4738838716983391E-3</c:v>
                </c:pt>
                <c:pt idx="394">
                  <c:v>5.198527552196186E-3</c:v>
                </c:pt>
                <c:pt idx="395">
                  <c:v>-1.8506094151850672E-2</c:v>
                </c:pt>
                <c:pt idx="396">
                  <c:v>5.8672742808316691E-3</c:v>
                </c:pt>
                <c:pt idx="397">
                  <c:v>1.6989466530747954E-4</c:v>
                </c:pt>
                <c:pt idx="398">
                  <c:v>6.6247664345167045E-3</c:v>
                </c:pt>
                <c:pt idx="399">
                  <c:v>-2.0530993362583017E-2</c:v>
                </c:pt>
                <c:pt idx="400">
                  <c:v>-1.5993797737322679E-2</c:v>
                </c:pt>
                <c:pt idx="401">
                  <c:v>-6.6824243485366086E-3</c:v>
                </c:pt>
                <c:pt idx="402">
                  <c:v>9.6944770857820828E-4</c:v>
                </c:pt>
                <c:pt idx="403">
                  <c:v>-8.7752766119801873E-3</c:v>
                </c:pt>
                <c:pt idx="404">
                  <c:v>-1.6373541777698897E-2</c:v>
                </c:pt>
                <c:pt idx="405">
                  <c:v>-9.3314469763100538E-3</c:v>
                </c:pt>
                <c:pt idx="406">
                  <c:v>-4.8312114490597358E-3</c:v>
                </c:pt>
                <c:pt idx="407">
                  <c:v>-7.9079140205177145E-3</c:v>
                </c:pt>
                <c:pt idx="408">
                  <c:v>-8.8326716523559057E-3</c:v>
                </c:pt>
                <c:pt idx="409">
                  <c:v>-1.0153387567533922E-2</c:v>
                </c:pt>
                <c:pt idx="410">
                  <c:v>1.1104488848458161E-2</c:v>
                </c:pt>
                <c:pt idx="411">
                  <c:v>-7.3527130580460787E-3</c:v>
                </c:pt>
                <c:pt idx="412">
                  <c:v>5.9382422802856105E-4</c:v>
                </c:pt>
                <c:pt idx="413">
                  <c:v>1.8178978603779594E-2</c:v>
                </c:pt>
                <c:pt idx="414">
                  <c:v>2.0185906678528598E-2</c:v>
                </c:pt>
                <c:pt idx="415">
                  <c:v>-1.1938054427905631E-2</c:v>
                </c:pt>
                <c:pt idx="416">
                  <c:v>-2.647757015034391E-3</c:v>
                </c:pt>
                <c:pt idx="417">
                  <c:v>-9.4595831680455156E-4</c:v>
                </c:pt>
                <c:pt idx="418">
                  <c:v>-1.1148442272449488E-2</c:v>
                </c:pt>
                <c:pt idx="419">
                  <c:v>-8.0926640926640703E-3</c:v>
                </c:pt>
                <c:pt idx="420">
                  <c:v>2.5846230498551837E-3</c:v>
                </c:pt>
                <c:pt idx="421">
                  <c:v>1.1057274195552358E-2</c:v>
                </c:pt>
                <c:pt idx="422">
                  <c:v>-2.6726468419758787E-3</c:v>
                </c:pt>
                <c:pt idx="423">
                  <c:v>1.9251501617126188E-2</c:v>
                </c:pt>
                <c:pt idx="424">
                  <c:v>1.2330009066183312E-2</c:v>
                </c:pt>
                <c:pt idx="425">
                  <c:v>2.8628574840288801E-2</c:v>
                </c:pt>
                <c:pt idx="426">
                  <c:v>-5.8914008764546777E-3</c:v>
                </c:pt>
                <c:pt idx="427">
                  <c:v>2.2771063233490985E-3</c:v>
                </c:pt>
                <c:pt idx="428">
                  <c:v>-4.1652102994291784E-3</c:v>
                </c:pt>
                <c:pt idx="429">
                  <c:v>-1.5180321155927379E-2</c:v>
                </c:pt>
                <c:pt idx="430">
                  <c:v>-1.91862191862191E-2</c:v>
                </c:pt>
                <c:pt idx="431">
                  <c:v>-7.1160368217054737E-3</c:v>
                </c:pt>
                <c:pt idx="432">
                  <c:v>2.8973131233034355E-3</c:v>
                </c:pt>
                <c:pt idx="433">
                  <c:v>-1.5265782751490042E-2</c:v>
                </c:pt>
                <c:pt idx="434">
                  <c:v>-5.7748131678092562E-3</c:v>
                </c:pt>
                <c:pt idx="435">
                  <c:v>1.0094735207330396E-2</c:v>
                </c:pt>
                <c:pt idx="436">
                  <c:v>-5.0123001230012454E-3</c:v>
                </c:pt>
                <c:pt idx="437">
                  <c:v>-1.5668943350743203E-2</c:v>
                </c:pt>
                <c:pt idx="438">
                  <c:v>-3.8869701726844563E-2</c:v>
                </c:pt>
                <c:pt idx="439">
                  <c:v>8.1013981445186012E-3</c:v>
                </c:pt>
                <c:pt idx="440">
                  <c:v>6.1568373298768186E-3</c:v>
                </c:pt>
                <c:pt idx="441">
                  <c:v>6.3768115942028913E-3</c:v>
                </c:pt>
                <c:pt idx="442">
                  <c:v>4.1602662570405791E-4</c:v>
                </c:pt>
                <c:pt idx="443">
                  <c:v>6.9095678321229315E-3</c:v>
                </c:pt>
                <c:pt idx="444">
                  <c:v>-5.5596149569526743E-3</c:v>
                </c:pt>
                <c:pt idx="445">
                  <c:v>-1.0127148425020605E-2</c:v>
                </c:pt>
                <c:pt idx="446">
                  <c:v>-1.7750524447313065E-3</c:v>
                </c:pt>
                <c:pt idx="447">
                  <c:v>1.6456514710636805E-2</c:v>
                </c:pt>
                <c:pt idx="448">
                  <c:v>-1.5999236616940693E-2</c:v>
                </c:pt>
                <c:pt idx="449">
                  <c:v>-2.3920351693819564E-2</c:v>
                </c:pt>
                <c:pt idx="450">
                  <c:v>-9.1734004503907229E-3</c:v>
                </c:pt>
                <c:pt idx="451">
                  <c:v>2.8744276212440134E-3</c:v>
                </c:pt>
                <c:pt idx="452">
                  <c:v>-2.7662056323946027E-3</c:v>
                </c:pt>
                <c:pt idx="453">
                  <c:v>-1.3368090368293117E-4</c:v>
                </c:pt>
                <c:pt idx="454">
                  <c:v>-8.0887759876997478E-3</c:v>
                </c:pt>
                <c:pt idx="455">
                  <c:v>7.750370669901141E-4</c:v>
                </c:pt>
                <c:pt idx="456">
                  <c:v>-2.3839186504596044E-2</c:v>
                </c:pt>
                <c:pt idx="457">
                  <c:v>3.7666862129626333E-2</c:v>
                </c:pt>
                <c:pt idx="458">
                  <c:v>9.241099624372584E-3</c:v>
                </c:pt>
                <c:pt idx="459">
                  <c:v>1.1692631994993707E-2</c:v>
                </c:pt>
                <c:pt idx="460">
                  <c:v>2.1487172808959398E-2</c:v>
                </c:pt>
                <c:pt idx="461">
                  <c:v>4.4173890872004185E-2</c:v>
                </c:pt>
                <c:pt idx="462">
                  <c:v>-1.1324094988095945E-2</c:v>
                </c:pt>
                <c:pt idx="463">
                  <c:v>1.2349109320486384E-4</c:v>
                </c:pt>
                <c:pt idx="464">
                  <c:v>1.8830066368267229E-3</c:v>
                </c:pt>
                <c:pt idx="465">
                  <c:v>-1.1646536849889144E-2</c:v>
                </c:pt>
                <c:pt idx="466">
                  <c:v>1.4745308310992078E-2</c:v>
                </c:pt>
                <c:pt idx="467">
                  <c:v>4.3009431353877581E-3</c:v>
                </c:pt>
                <c:pt idx="468">
                  <c:v>3.6126150928390111E-2</c:v>
                </c:pt>
                <c:pt idx="469">
                  <c:v>-3.3065658951346721E-3</c:v>
                </c:pt>
                <c:pt idx="470">
                  <c:v>-2.7547393364929507E-3</c:v>
                </c:pt>
                <c:pt idx="471">
                  <c:v>7.4850744052039619E-3</c:v>
                </c:pt>
                <c:pt idx="472">
                  <c:v>7.6653203219434474E-4</c:v>
                </c:pt>
                <c:pt idx="473">
                  <c:v>-1.3197820002945782E-2</c:v>
                </c:pt>
                <c:pt idx="474">
                  <c:v>1.0956205033286537E-2</c:v>
                </c:pt>
                <c:pt idx="475">
                  <c:v>1.5060240963855609E-3</c:v>
                </c:pt>
                <c:pt idx="476">
                  <c:v>-4.2459088898717523E-3</c:v>
                </c:pt>
                <c:pt idx="477">
                  <c:v>-1.7766722927958778E-4</c:v>
                </c:pt>
                <c:pt idx="478">
                  <c:v>7.7298978231896687E-3</c:v>
                </c:pt>
                <c:pt idx="479">
                  <c:v>3.7618291894434552E-3</c:v>
                </c:pt>
                <c:pt idx="480">
                  <c:v>2.0173332552555934E-2</c:v>
                </c:pt>
                <c:pt idx="481">
                  <c:v>2.7552162557757942E-3</c:v>
                </c:pt>
                <c:pt idx="482">
                  <c:v>-2.1866681931366094E-2</c:v>
                </c:pt>
                <c:pt idx="483">
                  <c:v>6.4374542794443101E-4</c:v>
                </c:pt>
                <c:pt idx="484">
                  <c:v>7.7492177676403706E-3</c:v>
                </c:pt>
                <c:pt idx="485">
                  <c:v>1.8019847948465006E-2</c:v>
                </c:pt>
                <c:pt idx="486">
                  <c:v>2.6508565402045825E-3</c:v>
                </c:pt>
                <c:pt idx="487">
                  <c:v>2.4164202865590845E-3</c:v>
                </c:pt>
                <c:pt idx="488">
                  <c:v>2.8700263747483135E-2</c:v>
                </c:pt>
                <c:pt idx="489">
                  <c:v>5.7177514956027853E-2</c:v>
                </c:pt>
                <c:pt idx="490">
                  <c:v>-7.7189871437141067E-3</c:v>
                </c:pt>
                <c:pt idx="491">
                  <c:v>-1.0801293001498014E-2</c:v>
                </c:pt>
                <c:pt idx="492">
                  <c:v>1.6073326248671638E-2</c:v>
                </c:pt>
                <c:pt idx="493">
                  <c:v>-1.2890573931232829E-2</c:v>
                </c:pt>
                <c:pt idx="494">
                  <c:v>8.079042169951256E-3</c:v>
                </c:pt>
                <c:pt idx="495">
                  <c:v>2.1021099929052767E-4</c:v>
                </c:pt>
                <c:pt idx="496">
                  <c:v>2.5220018389597865E-3</c:v>
                </c:pt>
                <c:pt idx="497">
                  <c:v>7.5207672754906696E-3</c:v>
                </c:pt>
                <c:pt idx="498">
                  <c:v>5.0197669579692406E-3</c:v>
                </c:pt>
                <c:pt idx="499">
                  <c:v>-1.6562718356151196E-3</c:v>
                </c:pt>
                <c:pt idx="500">
                  <c:v>6.558311947533646E-3</c:v>
                </c:pt>
                <c:pt idx="501">
                  <c:v>-1.6765387586917258E-2</c:v>
                </c:pt>
                <c:pt idx="502">
                  <c:v>3.0383194950103221E-3</c:v>
                </c:pt>
                <c:pt idx="503">
                  <c:v>9.1134612873744469E-3</c:v>
                </c:pt>
                <c:pt idx="504">
                  <c:v>6.2622916882311142E-3</c:v>
                </c:pt>
                <c:pt idx="505">
                  <c:v>-1.3166692382862721E-2</c:v>
                </c:pt>
                <c:pt idx="506">
                  <c:v>-4.6385573565436156E-3</c:v>
                </c:pt>
                <c:pt idx="507">
                  <c:v>-5.7859461723740457E-3</c:v>
                </c:pt>
                <c:pt idx="508">
                  <c:v>-5.2666227781434927E-3</c:v>
                </c:pt>
                <c:pt idx="509">
                  <c:v>7.1475843812045525E-3</c:v>
                </c:pt>
                <c:pt idx="510">
                  <c:v>-8.5950847680378306E-3</c:v>
                </c:pt>
                <c:pt idx="511">
                  <c:v>-7.158385916538057E-4</c:v>
                </c:pt>
                <c:pt idx="512">
                  <c:v>1.403518081239552E-2</c:v>
                </c:pt>
                <c:pt idx="513">
                  <c:v>9.8377812663525965E-3</c:v>
                </c:pt>
                <c:pt idx="514">
                  <c:v>-1.3446989325318626E-2</c:v>
                </c:pt>
                <c:pt idx="515">
                  <c:v>-3.5979725293484588E-3</c:v>
                </c:pt>
                <c:pt idx="516">
                  <c:v>8.6979441222982956E-3</c:v>
                </c:pt>
                <c:pt idx="517">
                  <c:v>-1.2829892866474957E-2</c:v>
                </c:pt>
                <c:pt idx="518">
                  <c:v>7.3321157256676095E-3</c:v>
                </c:pt>
                <c:pt idx="519">
                  <c:v>1.658082825310081E-2</c:v>
                </c:pt>
                <c:pt idx="520">
                  <c:v>-7.3926642024453315E-3</c:v>
                </c:pt>
                <c:pt idx="521">
                  <c:v>-4.1665581625471848E-4</c:v>
                </c:pt>
                <c:pt idx="522">
                  <c:v>1.044678911032948E-2</c:v>
                </c:pt>
                <c:pt idx="523">
                  <c:v>-1.2478729438457292E-2</c:v>
                </c:pt>
                <c:pt idx="524">
                  <c:v>5.1433345517206686E-3</c:v>
                </c:pt>
                <c:pt idx="525">
                  <c:v>4.3377750071431631E-3</c:v>
                </c:pt>
                <c:pt idx="526">
                  <c:v>-4.1897274090932912E-3</c:v>
                </c:pt>
                <c:pt idx="527">
                  <c:v>-2.0257635570331001E-3</c:v>
                </c:pt>
                <c:pt idx="528">
                  <c:v>2.1808150731275733E-2</c:v>
                </c:pt>
                <c:pt idx="529">
                  <c:v>-3.5375916870415636E-2</c:v>
                </c:pt>
                <c:pt idx="530">
                  <c:v>-1.8745874587458022E-3</c:v>
                </c:pt>
                <c:pt idx="531">
                  <c:v>1.9521743730822161E-2</c:v>
                </c:pt>
                <c:pt idx="532">
                  <c:v>-2.5426807119506289E-3</c:v>
                </c:pt>
                <c:pt idx="533">
                  <c:v>2.0809489127038283E-4</c:v>
                </c:pt>
                <c:pt idx="534">
                  <c:v>9.7524185998127955E-3</c:v>
                </c:pt>
                <c:pt idx="535">
                  <c:v>5.6661601462901778E-3</c:v>
                </c:pt>
                <c:pt idx="536">
                  <c:v>1.4853894025148584E-3</c:v>
                </c:pt>
                <c:pt idx="537">
                  <c:v>-2.1224907300856355E-3</c:v>
                </c:pt>
                <c:pt idx="538">
                  <c:v>1.5119676080159739E-3</c:v>
                </c:pt>
                <c:pt idx="539">
                  <c:v>6.0643279342902368E-3</c:v>
                </c:pt>
                <c:pt idx="540">
                  <c:v>-1.0504094816623399E-2</c:v>
                </c:pt>
                <c:pt idx="541">
                  <c:v>-2.4418455211412393E-3</c:v>
                </c:pt>
                <c:pt idx="542">
                  <c:v>1.0693120329811734E-2</c:v>
                </c:pt>
                <c:pt idx="543">
                  <c:v>-3.4161886551943299E-3</c:v>
                </c:pt>
                <c:pt idx="544">
                  <c:v>-3.4278990048861591E-3</c:v>
                </c:pt>
                <c:pt idx="545">
                  <c:v>-2.9263033601150124E-3</c:v>
                </c:pt>
                <c:pt idx="546">
                  <c:v>-3.707231676235101E-3</c:v>
                </c:pt>
                <c:pt idx="547">
                  <c:v>-2.1447582624873895E-3</c:v>
                </c:pt>
                <c:pt idx="548">
                  <c:v>5.2309923347835241E-3</c:v>
                </c:pt>
                <c:pt idx="549">
                  <c:v>1.0639394095522725E-2</c:v>
                </c:pt>
                <c:pt idx="550">
                  <c:v>-9.4313170706838978E-3</c:v>
                </c:pt>
                <c:pt idx="551">
                  <c:v>-3.6025835670724371E-3</c:v>
                </c:pt>
                <c:pt idx="552">
                  <c:v>-7.3345213191807757E-3</c:v>
                </c:pt>
                <c:pt idx="553">
                  <c:v>1.1161120795067259E-2</c:v>
                </c:pt>
                <c:pt idx="554">
                  <c:v>2.0094684299902132E-2</c:v>
                </c:pt>
                <c:pt idx="555">
                  <c:v>4.3483744041163064E-2</c:v>
                </c:pt>
                <c:pt idx="556">
                  <c:v>-1.6654178047424528E-2</c:v>
                </c:pt>
                <c:pt idx="557">
                  <c:v>-4.6212083968339979E-3</c:v>
                </c:pt>
                <c:pt idx="558">
                  <c:v>3.0621820516620879E-3</c:v>
                </c:pt>
                <c:pt idx="559">
                  <c:v>2.2330001477177674E-2</c:v>
                </c:pt>
                <c:pt idx="560">
                  <c:v>5.8759783263093723E-3</c:v>
                </c:pt>
                <c:pt idx="561">
                  <c:v>-1.0007421772127656E-2</c:v>
                </c:pt>
                <c:pt idx="562">
                  <c:v>-8.125559236777824E-3</c:v>
                </c:pt>
                <c:pt idx="563">
                  <c:v>9.3868097037670406E-3</c:v>
                </c:pt>
                <c:pt idx="564">
                  <c:v>-1.8719806763284996E-2</c:v>
                </c:pt>
                <c:pt idx="565">
                  <c:v>4.4800000000000395E-3</c:v>
                </c:pt>
                <c:pt idx="566">
                  <c:v>6.0528830837847103E-3</c:v>
                </c:pt>
                <c:pt idx="567">
                  <c:v>4.1408876114368276E-4</c:v>
                </c:pt>
                <c:pt idx="568">
                  <c:v>-2.4226339753110393E-2</c:v>
                </c:pt>
                <c:pt idx="569">
                  <c:v>-8.1844495458628375E-3</c:v>
                </c:pt>
                <c:pt idx="570">
                  <c:v>-2.0101640334104887E-2</c:v>
                </c:pt>
                <c:pt idx="571">
                  <c:v>2.9243369534519559E-2</c:v>
                </c:pt>
                <c:pt idx="572">
                  <c:v>-1.0027938535222436E-2</c:v>
                </c:pt>
                <c:pt idx="573">
                  <c:v>1.7764450939877996E-2</c:v>
                </c:pt>
                <c:pt idx="574">
                  <c:v>-1.9806392513184168E-3</c:v>
                </c:pt>
                <c:pt idx="575">
                  <c:v>2.2078340899505111E-3</c:v>
                </c:pt>
                <c:pt idx="576">
                  <c:v>3.3044554455445629E-2</c:v>
                </c:pt>
                <c:pt idx="577">
                  <c:v>1.5933868455732636E-2</c:v>
                </c:pt>
                <c:pt idx="578">
                  <c:v>-2.2641509433961593E-3</c:v>
                </c:pt>
                <c:pt idx="579">
                  <c:v>-7.0678895612708015E-3</c:v>
                </c:pt>
                <c:pt idx="580">
                  <c:v>1.7902630639209605E-2</c:v>
                </c:pt>
                <c:pt idx="581">
                  <c:v>7.5777065743620753E-3</c:v>
                </c:pt>
                <c:pt idx="582">
                  <c:v>-9.5169564309092181E-3</c:v>
                </c:pt>
                <c:pt idx="583">
                  <c:v>5.6244287689533046E-4</c:v>
                </c:pt>
                <c:pt idx="584">
                  <c:v>1.3163133856423537E-2</c:v>
                </c:pt>
                <c:pt idx="585">
                  <c:v>1.2968999237117806E-2</c:v>
                </c:pt>
                <c:pt idx="586">
                  <c:v>1.2529097631110542E-2</c:v>
                </c:pt>
                <c:pt idx="587">
                  <c:v>2.9301057091979388E-4</c:v>
                </c:pt>
                <c:pt idx="588">
                  <c:v>7.0977917981072114E-3</c:v>
                </c:pt>
                <c:pt idx="589">
                  <c:v>1.9263899765074477E-2</c:v>
                </c:pt>
                <c:pt idx="590">
                  <c:v>-1.8219334445517266E-3</c:v>
                </c:pt>
                <c:pt idx="591">
                  <c:v>-2.5729553801157046E-3</c:v>
                </c:pt>
                <c:pt idx="592">
                  <c:v>1.0825469618132244E-2</c:v>
                </c:pt>
                <c:pt idx="593">
                  <c:v>1.662049861495829E-2</c:v>
                </c:pt>
                <c:pt idx="594">
                  <c:v>-3.3684481537900046E-3</c:v>
                </c:pt>
                <c:pt idx="595">
                  <c:v>6.8888314819599561E-3</c:v>
                </c:pt>
                <c:pt idx="596">
                  <c:v>-1.0219789617720076E-2</c:v>
                </c:pt>
                <c:pt idx="597">
                  <c:v>1.6136000345617241E-2</c:v>
                </c:pt>
                <c:pt idx="598">
                  <c:v>-1.7070215344061612E-2</c:v>
                </c:pt>
                <c:pt idx="599">
                  <c:v>-9.1483195639949777E-3</c:v>
                </c:pt>
                <c:pt idx="600">
                  <c:v>6.6135545127141704E-3</c:v>
                </c:pt>
                <c:pt idx="601">
                  <c:v>-2.9706405308123074E-3</c:v>
                </c:pt>
                <c:pt idx="602">
                  <c:v>-5.7415019247080146E-3</c:v>
                </c:pt>
                <c:pt idx="603">
                  <c:v>-1.5180348666797849E-2</c:v>
                </c:pt>
                <c:pt idx="604">
                  <c:v>1.397063722986025E-2</c:v>
                </c:pt>
                <c:pt idx="605">
                  <c:v>-3.3733461841758405E-3</c:v>
                </c:pt>
                <c:pt idx="606">
                  <c:v>7.0332761879643435E-4</c:v>
                </c:pt>
                <c:pt idx="607">
                  <c:v>1.4012738853503182E-2</c:v>
                </c:pt>
                <c:pt idx="608">
                  <c:v>-7.7542886848033232E-3</c:v>
                </c:pt>
                <c:pt idx="609">
                  <c:v>-6.9635450774939711E-3</c:v>
                </c:pt>
                <c:pt idx="610">
                  <c:v>-2.9896023389242021E-3</c:v>
                </c:pt>
                <c:pt idx="611">
                  <c:v>-2.0460809172086925E-2</c:v>
                </c:pt>
                <c:pt idx="612">
                  <c:v>9.9714137799087332E-3</c:v>
                </c:pt>
                <c:pt idx="613">
                  <c:v>-5.2373523512367903E-3</c:v>
                </c:pt>
                <c:pt idx="614">
                  <c:v>2.46443374033678E-4</c:v>
                </c:pt>
                <c:pt idx="615">
                  <c:v>8.3322134121759373E-3</c:v>
                </c:pt>
                <c:pt idx="616">
                  <c:v>1.6104669243413694E-2</c:v>
                </c:pt>
                <c:pt idx="617">
                  <c:v>1.3553986402290441E-3</c:v>
                </c:pt>
                <c:pt idx="618">
                  <c:v>-1.7181530400611322E-2</c:v>
                </c:pt>
                <c:pt idx="619">
                  <c:v>2.6456084232973298E-2</c:v>
                </c:pt>
                <c:pt idx="620">
                  <c:v>-1.0192819580601142E-2</c:v>
                </c:pt>
                <c:pt idx="621">
                  <c:v>-3.323276050548718E-3</c:v>
                </c:pt>
                <c:pt idx="622">
                  <c:v>-2.1717193875312679E-2</c:v>
                </c:pt>
                <c:pt idx="623">
                  <c:v>1.4261368732621849E-2</c:v>
                </c:pt>
                <c:pt idx="624">
                  <c:v>2.5070746374248332E-2</c:v>
                </c:pt>
                <c:pt idx="625">
                  <c:v>4.2056679463400304E-3</c:v>
                </c:pt>
                <c:pt idx="626">
                  <c:v>4.961233650480068E-3</c:v>
                </c:pt>
                <c:pt idx="627">
                  <c:v>-6.7746623354419944E-3</c:v>
                </c:pt>
                <c:pt idx="628">
                  <c:v>1.5061861215714956E-4</c:v>
                </c:pt>
                <c:pt idx="629">
                  <c:v>1.7232477087904874E-2</c:v>
                </c:pt>
                <c:pt idx="630">
                  <c:v>1.2816445657001463E-2</c:v>
                </c:pt>
                <c:pt idx="631">
                  <c:v>7.0997515086967944E-4</c:v>
                </c:pt>
                <c:pt idx="632">
                  <c:v>1.3563424660392176E-3</c:v>
                </c:pt>
                <c:pt idx="633">
                  <c:v>2.5735600566808348E-2</c:v>
                </c:pt>
                <c:pt idx="634">
                  <c:v>2.1920646852081171E-2</c:v>
                </c:pt>
                <c:pt idx="635">
                  <c:v>-1.6699137211243498E-3</c:v>
                </c:pt>
                <c:pt idx="636">
                  <c:v>-3.180134613086949E-2</c:v>
                </c:pt>
                <c:pt idx="637">
                  <c:v>-2.632607309598689E-3</c:v>
                </c:pt>
                <c:pt idx="638">
                  <c:v>4.3511434640051139E-3</c:v>
                </c:pt>
                <c:pt idx="639">
                  <c:v>1.0491951379763442E-2</c:v>
                </c:pt>
                <c:pt idx="640">
                  <c:v>-1.1073859595651658E-2</c:v>
                </c:pt>
                <c:pt idx="641">
                  <c:v>1.029381549208952E-2</c:v>
                </c:pt>
                <c:pt idx="642">
                  <c:v>1.4886823534197013E-2</c:v>
                </c:pt>
                <c:pt idx="643">
                  <c:v>-1.2644530388954411E-2</c:v>
                </c:pt>
                <c:pt idx="644">
                  <c:v>2.6282675759051743E-2</c:v>
                </c:pt>
                <c:pt idx="645">
                  <c:v>6.644649672711278E-3</c:v>
                </c:pt>
                <c:pt idx="646">
                  <c:v>-1.7503879928491339E-2</c:v>
                </c:pt>
                <c:pt idx="647">
                  <c:v>-5.8945852995281212E-2</c:v>
                </c:pt>
                <c:pt idx="648">
                  <c:v>-2.468978412374645E-2</c:v>
                </c:pt>
                <c:pt idx="649">
                  <c:v>2.439980828722077E-2</c:v>
                </c:pt>
                <c:pt idx="650">
                  <c:v>5.9333928799285562E-3</c:v>
                </c:pt>
                <c:pt idx="651">
                  <c:v>2.6976173865245867E-2</c:v>
                </c:pt>
                <c:pt idx="652">
                  <c:v>9.2430574140025534E-3</c:v>
                </c:pt>
                <c:pt idx="653">
                  <c:v>-9.7091339289356871E-3</c:v>
                </c:pt>
                <c:pt idx="654">
                  <c:v>1.3264675592173036E-2</c:v>
                </c:pt>
                <c:pt idx="655">
                  <c:v>1.37415131926657E-2</c:v>
                </c:pt>
                <c:pt idx="656">
                  <c:v>6.4166833767798082E-4</c:v>
                </c:pt>
                <c:pt idx="657">
                  <c:v>1.0500581139032628E-2</c:v>
                </c:pt>
                <c:pt idx="658">
                  <c:v>8.3290366080990275E-4</c:v>
                </c:pt>
                <c:pt idx="659">
                  <c:v>-1.4543869382579122E-2</c:v>
                </c:pt>
                <c:pt idx="660">
                  <c:v>-1.7694132786423289E-3</c:v>
                </c:pt>
                <c:pt idx="661">
                  <c:v>2.598396648269885E-3</c:v>
                </c:pt>
                <c:pt idx="662">
                  <c:v>2.344550477147167E-2</c:v>
                </c:pt>
                <c:pt idx="663">
                  <c:v>-3.0426759844529583E-3</c:v>
                </c:pt>
                <c:pt idx="664">
                  <c:v>-1.2010947683462891E-3</c:v>
                </c:pt>
                <c:pt idx="665">
                  <c:v>-7.7475062098332215E-3</c:v>
                </c:pt>
                <c:pt idx="666">
                  <c:v>1.3450420201458257E-2</c:v>
                </c:pt>
                <c:pt idx="667">
                  <c:v>2.9405998823750501E-4</c:v>
                </c:pt>
                <c:pt idx="668">
                  <c:v>-4.4664380205781562E-2</c:v>
                </c:pt>
                <c:pt idx="669">
                  <c:v>6.5236121938210268E-3</c:v>
                </c:pt>
                <c:pt idx="670">
                  <c:v>-5.6253057231371306E-3</c:v>
                </c:pt>
                <c:pt idx="671">
                  <c:v>-1.6950889563007276E-2</c:v>
                </c:pt>
                <c:pt idx="672">
                  <c:v>1.8681845666270513E-2</c:v>
                </c:pt>
                <c:pt idx="673">
                  <c:v>-4.3883169249032905E-2</c:v>
                </c:pt>
                <c:pt idx="674">
                  <c:v>8.6485560764670844E-3</c:v>
                </c:pt>
                <c:pt idx="675">
                  <c:v>6.1336672538574444E-3</c:v>
                </c:pt>
                <c:pt idx="676">
                  <c:v>1.0399527485972282E-2</c:v>
                </c:pt>
                <c:pt idx="677">
                  <c:v>1.2881271007745498E-2</c:v>
                </c:pt>
                <c:pt idx="678">
                  <c:v>4.7407040976166215E-4</c:v>
                </c:pt>
                <c:pt idx="679">
                  <c:v>-1.6687612023321696E-3</c:v>
                </c:pt>
                <c:pt idx="680">
                  <c:v>3.9725122786743228E-2</c:v>
                </c:pt>
                <c:pt idx="681">
                  <c:v>-1.071790087926483E-2</c:v>
                </c:pt>
                <c:pt idx="682">
                  <c:v>-2.0464257769395866E-3</c:v>
                </c:pt>
                <c:pt idx="683">
                  <c:v>1.2263525059807989E-3</c:v>
                </c:pt>
                <c:pt idx="684">
                  <c:v>-1.3814706236697338E-2</c:v>
                </c:pt>
                <c:pt idx="685">
                  <c:v>1.1768538502260117E-2</c:v>
                </c:pt>
                <c:pt idx="686">
                  <c:v>3.1997102149239343E-3</c:v>
                </c:pt>
                <c:pt idx="687">
                  <c:v>-6.8203245672102675E-3</c:v>
                </c:pt>
                <c:pt idx="688">
                  <c:v>-9.977580739633618E-3</c:v>
                </c:pt>
                <c:pt idx="689">
                  <c:v>3.712997531468698E-3</c:v>
                </c:pt>
                <c:pt idx="690">
                  <c:v>-1.1971788044472409E-2</c:v>
                </c:pt>
                <c:pt idx="691">
                  <c:v>1.8638140300349715E-2</c:v>
                </c:pt>
                <c:pt idx="692">
                  <c:v>-1.0905565877696866E-3</c:v>
                </c:pt>
                <c:pt idx="693">
                  <c:v>3.9424204439770794E-3</c:v>
                </c:pt>
                <c:pt idx="694">
                  <c:v>1.7338945163823949E-2</c:v>
                </c:pt>
                <c:pt idx="695">
                  <c:v>-2.8900589888751771E-3</c:v>
                </c:pt>
                <c:pt idx="696">
                  <c:v>2.4974192011434804E-2</c:v>
                </c:pt>
                <c:pt idx="697">
                  <c:v>1.2492736780941316E-2</c:v>
                </c:pt>
                <c:pt idx="698">
                  <c:v>-7.0779531324727252E-4</c:v>
                </c:pt>
                <c:pt idx="699">
                  <c:v>1.4319078065775814E-2</c:v>
                </c:pt>
                <c:pt idx="700">
                  <c:v>-1.6230702449704371E-3</c:v>
                </c:pt>
                <c:pt idx="701">
                  <c:v>-9.4517958412099201E-4</c:v>
                </c:pt>
                <c:pt idx="702">
                  <c:v>-2.0245979186376606E-2</c:v>
                </c:pt>
                <c:pt idx="703">
                  <c:v>9.6562379297027157E-4</c:v>
                </c:pt>
                <c:pt idx="704">
                  <c:v>-2.1223229789695264E-3</c:v>
                </c:pt>
                <c:pt idx="705">
                  <c:v>1.4114462490332436E-2</c:v>
                </c:pt>
                <c:pt idx="706">
                  <c:v>-2.2688274547187803E-2</c:v>
                </c:pt>
                <c:pt idx="707">
                  <c:v>2.1420210690596964E-2</c:v>
                </c:pt>
                <c:pt idx="708">
                  <c:v>1.3369494633101997E-3</c:v>
                </c:pt>
                <c:pt idx="709">
                  <c:v>2.2888532845044551E-4</c:v>
                </c:pt>
                <c:pt idx="710">
                  <c:v>-1.2604881769641474E-2</c:v>
                </c:pt>
                <c:pt idx="711">
                  <c:v>3.0128044187798242E-3</c:v>
                </c:pt>
                <c:pt idx="712">
                  <c:v>-1.5172812169057415E-2</c:v>
                </c:pt>
                <c:pt idx="713">
                  <c:v>3.0285256222261303E-2</c:v>
                </c:pt>
                <c:pt idx="714">
                  <c:v>0.13097768331562154</c:v>
                </c:pt>
                <c:pt idx="715">
                  <c:v>-2.3171918520755841E-2</c:v>
                </c:pt>
                <c:pt idx="716">
                  <c:v>1.2178573268976534E-2</c:v>
                </c:pt>
                <c:pt idx="717">
                  <c:v>2.219733224722531E-2</c:v>
                </c:pt>
                <c:pt idx="718">
                  <c:v>-1.6186871202310993E-2</c:v>
                </c:pt>
                <c:pt idx="719">
                  <c:v>2.7506370340371067E-3</c:v>
                </c:pt>
                <c:pt idx="720">
                  <c:v>-9.4409477971122424E-3</c:v>
                </c:pt>
                <c:pt idx="721">
                  <c:v>8.3756647015849062E-3</c:v>
                </c:pt>
                <c:pt idx="722">
                  <c:v>-9.3506756073726827E-3</c:v>
                </c:pt>
                <c:pt idx="723">
                  <c:v>-1.1241687783805854E-2</c:v>
                </c:pt>
                <c:pt idx="724">
                  <c:v>9.4602497505924532E-4</c:v>
                </c:pt>
                <c:pt idx="725">
                  <c:v>2.4367191930301013E-2</c:v>
                </c:pt>
                <c:pt idx="726">
                  <c:v>1.1189210045125852E-2</c:v>
                </c:pt>
                <c:pt idx="727">
                  <c:v>4.1474501476490566E-4</c:v>
                </c:pt>
                <c:pt idx="728">
                  <c:v>4.0959819577799372E-3</c:v>
                </c:pt>
                <c:pt idx="729">
                  <c:v>-1.1560693641621267E-4</c:v>
                </c:pt>
                <c:pt idx="730">
                  <c:v>5.1863964455016731E-3</c:v>
                </c:pt>
                <c:pt idx="731">
                  <c:v>-1.1272326930344967E-2</c:v>
                </c:pt>
                <c:pt idx="732">
                  <c:v>6.1491416130698973E-4</c:v>
                </c:pt>
                <c:pt idx="733">
                  <c:v>-5.5972628222162868E-3</c:v>
                </c:pt>
                <c:pt idx="734">
                  <c:v>-3.1901922466638366E-3</c:v>
                </c:pt>
                <c:pt idx="735">
                  <c:v>4.825737265415464E-3</c:v>
                </c:pt>
                <c:pt idx="736">
                  <c:v>-9.2716115261471943E-3</c:v>
                </c:pt>
                <c:pt idx="737">
                  <c:v>-1.5299939406180574E-2</c:v>
                </c:pt>
                <c:pt idx="738">
                  <c:v>1.287113481359925E-2</c:v>
                </c:pt>
                <c:pt idx="739">
                  <c:v>-1.6032131767246272E-3</c:v>
                </c:pt>
                <c:pt idx="740">
                  <c:v>-1.0361555754635599E-2</c:v>
                </c:pt>
                <c:pt idx="741">
                  <c:v>1.4518002322880807E-3</c:v>
                </c:pt>
                <c:pt idx="742">
                  <c:v>-1.9869356846827002E-2</c:v>
                </c:pt>
                <c:pt idx="743">
                  <c:v>-4.2510614602909391E-2</c:v>
                </c:pt>
                <c:pt idx="744">
                  <c:v>6.7969104952294579E-3</c:v>
                </c:pt>
                <c:pt idx="745">
                  <c:v>2.1859600353796971E-2</c:v>
                </c:pt>
                <c:pt idx="746">
                  <c:v>8.2670906200317251E-3</c:v>
                </c:pt>
                <c:pt idx="747">
                  <c:v>2.1041381968534223E-2</c:v>
                </c:pt>
                <c:pt idx="748">
                  <c:v>-2.6767789426722643E-3</c:v>
                </c:pt>
                <c:pt idx="749">
                  <c:v>-8.6884710011528865E-3</c:v>
                </c:pt>
                <c:pt idx="750">
                  <c:v>-4.5645458016592144E-3</c:v>
                </c:pt>
                <c:pt idx="751">
                  <c:v>-1.6214802545548856E-3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6-4CB2-9547-5A3D2EF65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170285"/>
        <c:axId val="1554050516"/>
      </c:lineChart>
      <c:catAx>
        <c:axId val="1677170285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54050516"/>
        <c:crosses val="autoZero"/>
        <c:auto val="1"/>
        <c:lblAlgn val="ctr"/>
        <c:lblOffset val="100"/>
        <c:noMultiLvlLbl val="1"/>
      </c:catAx>
      <c:valAx>
        <c:axId val="1554050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717028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180975</xdr:colOff>
      <xdr:row>26</xdr:row>
      <xdr:rowOff>171450</xdr:rowOff>
    </xdr:from>
    <xdr:ext cx="4152900" cy="25622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681990</xdr:colOff>
      <xdr:row>26</xdr:row>
      <xdr:rowOff>171450</xdr:rowOff>
    </xdr:from>
    <xdr:ext cx="4152900" cy="25622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697230</xdr:colOff>
      <xdr:row>26</xdr:row>
      <xdr:rowOff>186690</xdr:rowOff>
    </xdr:from>
    <xdr:ext cx="4248150" cy="25622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180975</xdr:colOff>
      <xdr:row>40</xdr:row>
      <xdr:rowOff>104775</xdr:rowOff>
    </xdr:from>
    <xdr:ext cx="4152900" cy="25622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14</xdr:col>
      <xdr:colOff>674370</xdr:colOff>
      <xdr:row>40</xdr:row>
      <xdr:rowOff>112395</xdr:rowOff>
    </xdr:from>
    <xdr:ext cx="4152900" cy="256222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18</xdr:col>
      <xdr:colOff>702945</xdr:colOff>
      <xdr:row>40</xdr:row>
      <xdr:rowOff>120015</xdr:rowOff>
    </xdr:from>
    <xdr:ext cx="4257675" cy="256222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showGridLines="0" tabSelected="1" topLeftCell="J19" workbookViewId="0">
      <selection activeCell="S56" sqref="S56"/>
    </sheetView>
  </sheetViews>
  <sheetFormatPr defaultColWidth="12.6640625" defaultRowHeight="15" customHeight="1" x14ac:dyDescent="0.25"/>
  <cols>
    <col min="1" max="1" width="12.6640625" customWidth="1"/>
    <col min="2" max="2" width="18.21875" customWidth="1"/>
    <col min="3" max="6" width="12.6640625" customWidth="1"/>
    <col min="7" max="7" width="18.21875" customWidth="1"/>
    <col min="12" max="12" width="16.88671875" customWidth="1"/>
    <col min="17" max="17" width="23.88671875" customWidth="1"/>
  </cols>
  <sheetData>
    <row r="1" spans="1:21" ht="15.75" customHeight="1" x14ac:dyDescent="0.25">
      <c r="A1" s="1" t="s">
        <v>0</v>
      </c>
      <c r="B1" s="2">
        <v>44562</v>
      </c>
      <c r="D1" s="3"/>
    </row>
    <row r="2" spans="1:21" ht="15.75" customHeight="1" x14ac:dyDescent="0.25">
      <c r="A2" s="1" t="s">
        <v>1</v>
      </c>
      <c r="B2" s="2">
        <v>45658</v>
      </c>
    </row>
    <row r="3" spans="1:21" ht="15.75" customHeight="1" x14ac:dyDescent="0.25"/>
    <row r="4" spans="1:21" ht="15.75" customHeight="1" x14ac:dyDescent="0.25">
      <c r="B4" s="4" t="s">
        <v>2</v>
      </c>
      <c r="C4" s="5" t="s">
        <v>3</v>
      </c>
      <c r="D4" s="5" t="s">
        <v>4</v>
      </c>
      <c r="E4" s="6" t="s">
        <v>5</v>
      </c>
      <c r="G4" s="7" t="s">
        <v>6</v>
      </c>
      <c r="H4" s="5" t="s">
        <v>3</v>
      </c>
      <c r="I4" s="5" t="s">
        <v>4</v>
      </c>
      <c r="J4" s="6" t="s">
        <v>5</v>
      </c>
      <c r="L4" s="8" t="s">
        <v>7</v>
      </c>
      <c r="M4" s="9" t="s">
        <v>3</v>
      </c>
      <c r="N4" s="9" t="s">
        <v>4</v>
      </c>
      <c r="O4" s="9" t="s">
        <v>5</v>
      </c>
      <c r="Q4" s="8" t="s">
        <v>8</v>
      </c>
      <c r="R4" s="10" t="s">
        <v>3</v>
      </c>
      <c r="S4" s="9" t="s">
        <v>4</v>
      </c>
      <c r="T4" s="10" t="s">
        <v>5</v>
      </c>
      <c r="U4" s="8" t="s">
        <v>9</v>
      </c>
    </row>
    <row r="5" spans="1:21" ht="15.75" customHeight="1" x14ac:dyDescent="0.25">
      <c r="B5" s="11" t="str">
        <f ca="1">IFERROR(__xludf.DUMMYFUNCTION("GOOGLEFINANCE(C4, ""close"", B1, B2)"),"Date")</f>
        <v>Date</v>
      </c>
      <c r="C5" s="12" t="str">
        <f ca="1">IFERROR(__xludf.DUMMYFUNCTION("""COMPUTED_VALUE"""),"Close")</f>
        <v>Close</v>
      </c>
      <c r="D5" s="12" t="s">
        <v>10</v>
      </c>
      <c r="E5" s="13" t="s">
        <v>10</v>
      </c>
      <c r="G5" s="14" t="s">
        <v>11</v>
      </c>
      <c r="H5" s="12" t="s">
        <v>6</v>
      </c>
      <c r="I5" s="12" t="s">
        <v>6</v>
      </c>
      <c r="J5" s="13" t="s">
        <v>6</v>
      </c>
      <c r="L5" s="15" t="s">
        <v>12</v>
      </c>
      <c r="M5" s="16">
        <f t="shared" ref="M5:O5" ca="1" si="0">AVERAGE(H7:H758)</f>
        <v>6.4765927639753992E-4</v>
      </c>
      <c r="N5" s="16">
        <f t="shared" si="0"/>
        <v>4.5854227020558028E-4</v>
      </c>
      <c r="O5" s="17">
        <f t="shared" si="0"/>
        <v>6.3207182717011788E-4</v>
      </c>
      <c r="Q5" s="18" t="s">
        <v>13</v>
      </c>
      <c r="R5" s="19">
        <v>0.33333333333330001</v>
      </c>
      <c r="S5" s="20">
        <v>0.33333333333300003</v>
      </c>
      <c r="T5" s="19">
        <v>0.33333333329999998</v>
      </c>
      <c r="U5" s="20">
        <f>SUM(R5:T5)</f>
        <v>0.99999999996630007</v>
      </c>
    </row>
    <row r="6" spans="1:21" ht="15.75" customHeight="1" x14ac:dyDescent="0.25">
      <c r="B6" s="21">
        <f ca="1">IFERROR(__xludf.DUMMYFUNCTION("""COMPUTED_VALUE"""),44564.6666666666)</f>
        <v>44564.666666666599</v>
      </c>
      <c r="C6" s="22">
        <f ca="1">IFERROR(__xludf.DUMMYFUNCTION("""COMPUTED_VALUE"""),161.7)</f>
        <v>161.69999999999999</v>
      </c>
      <c r="D6" s="22">
        <v>100.19</v>
      </c>
      <c r="E6" s="23">
        <v>395.33</v>
      </c>
      <c r="G6" s="24">
        <f t="shared" ref="G6:G260" ca="1" si="1">B6</f>
        <v>44564.666666666599</v>
      </c>
      <c r="H6" s="25"/>
      <c r="I6" s="25"/>
      <c r="J6" s="26"/>
      <c r="L6" s="15" t="s">
        <v>14</v>
      </c>
      <c r="M6" s="20">
        <f t="shared" ref="M6:O6" ca="1" si="2">_xlfn.STDEV.S(H7:H758)</f>
        <v>1.5789015196523485E-2</v>
      </c>
      <c r="N6" s="20">
        <f t="shared" si="2"/>
        <v>1.7749953006217605E-2</v>
      </c>
      <c r="O6" s="17">
        <f t="shared" si="2"/>
        <v>1.674241698216555E-2</v>
      </c>
      <c r="Q6" s="18" t="s">
        <v>12</v>
      </c>
      <c r="R6" s="19">
        <f ca="1">SUMPRODUCT(R5:T5,M5:O5)</f>
        <v>5.794244579031692E-4</v>
      </c>
      <c r="S6" s="18" t="s">
        <v>15</v>
      </c>
      <c r="T6" s="19">
        <f ca="1">R6*252</f>
        <v>0.14601496339159864</v>
      </c>
      <c r="U6" s="18" t="s">
        <v>16</v>
      </c>
    </row>
    <row r="7" spans="1:21" ht="15.75" customHeight="1" x14ac:dyDescent="0.25">
      <c r="B7" s="21">
        <f ca="1">IFERROR(__xludf.DUMMYFUNCTION("""COMPUTED_VALUE"""),44565.6666666666)</f>
        <v>44565.666666666599</v>
      </c>
      <c r="C7" s="22">
        <f ca="1">IFERROR(__xludf.DUMMYFUNCTION("""COMPUTED_VALUE"""),167.83)</f>
        <v>167.83</v>
      </c>
      <c r="D7" s="22">
        <v>104.26</v>
      </c>
      <c r="E7" s="23">
        <v>407.48</v>
      </c>
      <c r="G7" s="21">
        <f t="shared" ca="1" si="1"/>
        <v>44565.666666666599</v>
      </c>
      <c r="H7" s="19">
        <f t="shared" ref="H7:J7" ca="1" si="3">(C7/C6) - 1</f>
        <v>3.7909709338280972E-2</v>
      </c>
      <c r="I7" s="19">
        <f t="shared" si="3"/>
        <v>4.0622816648368198E-2</v>
      </c>
      <c r="J7" s="17">
        <f t="shared" si="3"/>
        <v>3.0733817317178058E-2</v>
      </c>
      <c r="L7" s="15" t="s">
        <v>17</v>
      </c>
      <c r="M7" s="20">
        <f t="shared" ref="M7:O7" ca="1" si="4">M6^2</f>
        <v>2.4929300087604954E-4</v>
      </c>
      <c r="N7" s="20">
        <f t="shared" si="4"/>
        <v>3.150608317229334E-4</v>
      </c>
      <c r="O7" s="17">
        <f t="shared" si="4"/>
        <v>2.8030852640470542E-4</v>
      </c>
      <c r="Q7" s="18" t="s">
        <v>14</v>
      </c>
      <c r="R7" s="19">
        <f t="array" aca="1" ref="R7" ca="1">SQRT(MMULT((R5:T5), MMULT(M12:O14, TRANSPOSE(R5:T5))))</f>
        <v>1.5307811216221131E-2</v>
      </c>
      <c r="S7" s="18" t="s">
        <v>15</v>
      </c>
      <c r="T7" s="19">
        <f ca="1">R7*SQRT(252)</f>
        <v>0.24300396956907783</v>
      </c>
      <c r="U7" s="18" t="s">
        <v>16</v>
      </c>
    </row>
    <row r="8" spans="1:21" ht="15.75" customHeight="1" x14ac:dyDescent="0.25">
      <c r="B8" s="21">
        <f ca="1">IFERROR(__xludf.DUMMYFUNCTION("""COMPUTED_VALUE"""),44566.6666666666)</f>
        <v>44566.666666666599</v>
      </c>
      <c r="C8" s="22">
        <f ca="1">IFERROR(__xludf.DUMMYFUNCTION("""COMPUTED_VALUE"""),163.78)</f>
        <v>163.78</v>
      </c>
      <c r="D8" s="22">
        <v>101.68</v>
      </c>
      <c r="E8" s="23">
        <v>398.63</v>
      </c>
      <c r="G8" s="21">
        <f t="shared" ca="1" si="1"/>
        <v>44566.666666666599</v>
      </c>
      <c r="H8" s="19">
        <f t="shared" ref="H8:J8" ca="1" si="5">(C8/C7) - 1</f>
        <v>-2.4131561699338722E-2</v>
      </c>
      <c r="I8" s="19">
        <f t="shared" si="5"/>
        <v>-2.4745827738346438E-2</v>
      </c>
      <c r="J8" s="17">
        <f t="shared" si="5"/>
        <v>-2.171885736723278E-2</v>
      </c>
      <c r="L8" s="14" t="s">
        <v>18</v>
      </c>
      <c r="M8" s="27">
        <f t="shared" ref="M8:O8" ca="1" si="6">M5/M6</f>
        <v>4.1019611947687856E-2</v>
      </c>
      <c r="N8" s="27">
        <f t="shared" si="6"/>
        <v>2.5833435730503521E-2</v>
      </c>
      <c r="O8" s="28">
        <f t="shared" si="6"/>
        <v>3.7752722790467881E-2</v>
      </c>
      <c r="Q8" s="11" t="s">
        <v>18</v>
      </c>
      <c r="R8" s="29">
        <f ca="1">R6/R7</f>
        <v>3.7851554981888864E-2</v>
      </c>
      <c r="S8" s="11" t="s">
        <v>15</v>
      </c>
      <c r="T8" s="29">
        <f ca="1">T6/T7</f>
        <v>0.60087480731499543</v>
      </c>
      <c r="U8" s="11" t="s">
        <v>16</v>
      </c>
    </row>
    <row r="9" spans="1:21" ht="15.75" customHeight="1" x14ac:dyDescent="0.25">
      <c r="B9" s="21">
        <f ca="1">IFERROR(__xludf.DUMMYFUNCTION("""COMPUTED_VALUE"""),44567.6666666666)</f>
        <v>44567.666666666599</v>
      </c>
      <c r="C9" s="22">
        <f ca="1">IFERROR(__xludf.DUMMYFUNCTION("""COMPUTED_VALUE"""),165.52)</f>
        <v>165.52</v>
      </c>
      <c r="D9" s="22">
        <v>103.42</v>
      </c>
      <c r="E9" s="23">
        <v>396.93</v>
      </c>
      <c r="G9" s="21">
        <f t="shared" ca="1" si="1"/>
        <v>44567.666666666599</v>
      </c>
      <c r="H9" s="19">
        <f t="shared" ref="H9:J9" ca="1" si="7">(C9/C8) - 1</f>
        <v>1.0624007815362102E-2</v>
      </c>
      <c r="I9" s="19">
        <f t="shared" si="7"/>
        <v>1.7112509834775746E-2</v>
      </c>
      <c r="J9" s="17">
        <f t="shared" si="7"/>
        <v>-4.2646062764969406E-3</v>
      </c>
    </row>
    <row r="10" spans="1:21" ht="15.75" customHeight="1" x14ac:dyDescent="0.25">
      <c r="B10" s="21">
        <f ca="1">IFERROR(__xludf.DUMMYFUNCTION("""COMPUTED_VALUE"""),44568.6666666666)</f>
        <v>44568.666666666599</v>
      </c>
      <c r="C10" s="22">
        <f ca="1">IFERROR(__xludf.DUMMYFUNCTION("""COMPUTED_VALUE"""),167.16)</f>
        <v>167.16</v>
      </c>
      <c r="D10" s="22">
        <v>104.05</v>
      </c>
      <c r="E10" s="23">
        <v>397.51</v>
      </c>
      <c r="G10" s="21">
        <f t="shared" ca="1" si="1"/>
        <v>44568.666666666599</v>
      </c>
      <c r="H10" s="19">
        <f t="shared" ref="H10:J10" ca="1" si="8">(C10/C9) - 1</f>
        <v>9.9081681971966429E-3</v>
      </c>
      <c r="I10" s="19">
        <f t="shared" si="8"/>
        <v>6.0916650551150475E-3</v>
      </c>
      <c r="J10" s="17">
        <f t="shared" si="8"/>
        <v>1.4612148237724831E-3</v>
      </c>
      <c r="Q10" s="8" t="s">
        <v>19</v>
      </c>
      <c r="R10" s="10" t="s">
        <v>3</v>
      </c>
      <c r="S10" s="9" t="s">
        <v>4</v>
      </c>
      <c r="T10" s="10" t="s">
        <v>5</v>
      </c>
      <c r="U10" s="8" t="s">
        <v>9</v>
      </c>
    </row>
    <row r="11" spans="1:21" ht="15.75" customHeight="1" x14ac:dyDescent="0.25">
      <c r="B11" s="21">
        <f ca="1">IFERROR(__xludf.DUMMYFUNCTION("""COMPUTED_VALUE"""),44571.6666666666)</f>
        <v>44571.666666666599</v>
      </c>
      <c r="C11" s="22">
        <f ca="1">IFERROR(__xludf.DUMMYFUNCTION("""COMPUTED_VALUE"""),167.32)</f>
        <v>167.32</v>
      </c>
      <c r="D11" s="22">
        <v>104.13</v>
      </c>
      <c r="E11" s="23">
        <v>399.17</v>
      </c>
      <c r="G11" s="21">
        <f t="shared" ca="1" si="1"/>
        <v>44571.666666666599</v>
      </c>
      <c r="H11" s="19">
        <f t="shared" ref="H11:J11" ca="1" si="9">(C11/C10) - 1</f>
        <v>9.5716678631241336E-4</v>
      </c>
      <c r="I11" s="19">
        <f t="shared" si="9"/>
        <v>7.6886112445939681E-4</v>
      </c>
      <c r="J11" s="17">
        <f t="shared" si="9"/>
        <v>4.1759955724385289E-3</v>
      </c>
      <c r="L11" s="8" t="s">
        <v>20</v>
      </c>
      <c r="M11" s="10" t="s">
        <v>3</v>
      </c>
      <c r="N11" s="9" t="s">
        <v>4</v>
      </c>
      <c r="O11" s="30" t="s">
        <v>5</v>
      </c>
      <c r="Q11" s="18" t="s">
        <v>13</v>
      </c>
      <c r="R11" s="19">
        <v>0.56573164283235322</v>
      </c>
      <c r="S11" s="20">
        <v>0.16151346614124779</v>
      </c>
      <c r="T11" s="19">
        <v>0.27275589102639891</v>
      </c>
      <c r="U11" s="20">
        <f>SUM(R11:T11)</f>
        <v>1.0000009999999999</v>
      </c>
    </row>
    <row r="12" spans="1:21" ht="15.75" customHeight="1" x14ac:dyDescent="0.25">
      <c r="B12" s="21">
        <f ca="1">IFERROR(__xludf.DUMMYFUNCTION("""COMPUTED_VALUE"""),44572.6666666666)</f>
        <v>44572.666666666599</v>
      </c>
      <c r="C12" s="22">
        <f ca="1">IFERROR(__xludf.DUMMYFUNCTION("""COMPUTED_VALUE"""),167.49)</f>
        <v>167.49</v>
      </c>
      <c r="D12" s="22">
        <v>105.92</v>
      </c>
      <c r="E12" s="23">
        <v>403.05</v>
      </c>
      <c r="G12" s="21">
        <f t="shared" ca="1" si="1"/>
        <v>44572.666666666599</v>
      </c>
      <c r="H12" s="19">
        <f t="shared" ref="H12:J12" ca="1" si="10">(C12/C11) - 1</f>
        <v>1.0160172125270872E-3</v>
      </c>
      <c r="I12" s="19">
        <f t="shared" si="10"/>
        <v>1.7190050897916143E-2</v>
      </c>
      <c r="J12" s="17">
        <f t="shared" si="10"/>
        <v>9.7201693514041843E-3</v>
      </c>
      <c r="L12" s="18" t="s">
        <v>3</v>
      </c>
      <c r="M12" s="19">
        <f ca="1">_xlfn.COVARIANCE.S(H7:H758, H7:H758)</f>
        <v>2.4929300087604944E-4</v>
      </c>
      <c r="N12" s="20">
        <f ca="1">_xlfn.COVARIANCE.S(H7:H758, I7:I758)</f>
        <v>1.9684910825419299E-4</v>
      </c>
      <c r="O12" s="17">
        <f ca="1">_xlfn.COVARIANCE.S(H7:H758, J7:J758)</f>
        <v>1.9826230845749015E-4</v>
      </c>
      <c r="Q12" s="18" t="s">
        <v>12</v>
      </c>
      <c r="R12" s="19">
        <f ca="1">SUMPRODUCT(R11:T11,M5:O5)</f>
        <v>6.1286341227764275E-4</v>
      </c>
      <c r="S12" s="18" t="s">
        <v>15</v>
      </c>
      <c r="T12" s="19">
        <f ca="1">R12*252</f>
        <v>0.15444157989396598</v>
      </c>
      <c r="U12" s="18" t="s">
        <v>16</v>
      </c>
    </row>
    <row r="13" spans="1:21" ht="15.75" customHeight="1" x14ac:dyDescent="0.25">
      <c r="B13" s="21">
        <f ca="1">IFERROR(__xludf.DUMMYFUNCTION("""COMPUTED_VALUE"""),44573.6666666666)</f>
        <v>44573.666666666599</v>
      </c>
      <c r="C13" s="22">
        <f ca="1">IFERROR(__xludf.DUMMYFUNCTION("""COMPUTED_VALUE"""),168.44)</f>
        <v>168.44</v>
      </c>
      <c r="D13" s="22">
        <v>103.05</v>
      </c>
      <c r="E13" s="23">
        <v>390.31</v>
      </c>
      <c r="G13" s="21">
        <f t="shared" ca="1" si="1"/>
        <v>44573.666666666599</v>
      </c>
      <c r="H13" s="19">
        <f t="shared" ref="H13:J13" ca="1" si="11">(C13/C12) - 1</f>
        <v>5.671980416741329E-3</v>
      </c>
      <c r="I13" s="19">
        <f t="shared" si="11"/>
        <v>-2.709592145015105E-2</v>
      </c>
      <c r="J13" s="17">
        <f t="shared" si="11"/>
        <v>-3.1608981515940937E-2</v>
      </c>
      <c r="L13" s="18" t="s">
        <v>4</v>
      </c>
      <c r="M13" s="19">
        <f ca="1">_xlfn.COVARIANCE.S(I7:I758, H7:H758)</f>
        <v>1.9684910825419299E-4</v>
      </c>
      <c r="N13" s="20">
        <f>_xlfn.COVARIANCE.S(I7:I758, I7:I758)</f>
        <v>3.1506083172293335E-4</v>
      </c>
      <c r="O13" s="17">
        <f>_xlfn.COVARIANCE.S(I7:I758, J7:J758)</f>
        <v>2.3703828290044161E-4</v>
      </c>
      <c r="Q13" s="18" t="s">
        <v>14</v>
      </c>
      <c r="R13" s="19">
        <f t="array" aca="1" ref="R13" ca="1">SQRT(MMULT((R11:T11), MMULT(M12:O14, TRANSPOSE(R11:T11))))</f>
        <v>1.506333827783171E-2</v>
      </c>
      <c r="S13" s="18" t="s">
        <v>15</v>
      </c>
      <c r="T13" s="19">
        <f ca="1">R13*SQRT(252)</f>
        <v>0.23912308198549609</v>
      </c>
      <c r="U13" s="18" t="s">
        <v>16</v>
      </c>
    </row>
    <row r="14" spans="1:21" ht="15.75" customHeight="1" x14ac:dyDescent="0.25">
      <c r="B14" s="21">
        <f ca="1">IFERROR(__xludf.DUMMYFUNCTION("""COMPUTED_VALUE"""),44574.6666666666)</f>
        <v>44574.666666666599</v>
      </c>
      <c r="C14" s="22">
        <f ca="1">IFERROR(__xludf.DUMMYFUNCTION("""COMPUTED_VALUE"""),168.23)</f>
        <v>168.23</v>
      </c>
      <c r="D14" s="22">
        <v>102.55</v>
      </c>
      <c r="E14" s="23">
        <v>390.8</v>
      </c>
      <c r="G14" s="21">
        <f t="shared" ca="1" si="1"/>
        <v>44574.666666666599</v>
      </c>
      <c r="H14" s="19">
        <f t="shared" ref="H14:J14" ca="1" si="12">(C14/C13) - 1</f>
        <v>-1.2467347423414932E-3</v>
      </c>
      <c r="I14" s="19">
        <f t="shared" si="12"/>
        <v>-4.8520135856380264E-3</v>
      </c>
      <c r="J14" s="17">
        <f t="shared" si="12"/>
        <v>1.2554123645307502E-3</v>
      </c>
      <c r="L14" s="11" t="s">
        <v>5</v>
      </c>
      <c r="M14" s="31">
        <f ca="1">_xlfn.COVARIANCE.S(J7:J758, H7:H758)</f>
        <v>1.9826230845749015E-4</v>
      </c>
      <c r="N14" s="32">
        <f>_xlfn.COVARIANCE.S(J7:J758, I7:I758)</f>
        <v>2.3703828290044161E-4</v>
      </c>
      <c r="O14" s="33">
        <f>_xlfn.COVARIANCE.S(J7:J758, J7:J758)</f>
        <v>2.8030852640470547E-4</v>
      </c>
      <c r="Q14" s="11" t="s">
        <v>18</v>
      </c>
      <c r="R14" s="29">
        <f ca="1">R12/R13</f>
        <v>4.068576307415047E-2</v>
      </c>
      <c r="S14" s="11" t="s">
        <v>15</v>
      </c>
      <c r="T14" s="29">
        <f ca="1">T12/T13</f>
        <v>0.6458664659705815</v>
      </c>
      <c r="U14" s="11" t="s">
        <v>16</v>
      </c>
    </row>
    <row r="15" spans="1:21" ht="15.75" customHeight="1" x14ac:dyDescent="0.25">
      <c r="B15" s="21">
        <f ca="1">IFERROR(__xludf.DUMMYFUNCTION("""COMPUTED_VALUE"""),44575.6666666666)</f>
        <v>44575.666666666599</v>
      </c>
      <c r="C15" s="22">
        <f ca="1">IFERROR(__xludf.DUMMYFUNCTION("""COMPUTED_VALUE"""),157.89)</f>
        <v>157.88999999999999</v>
      </c>
      <c r="D15" s="22">
        <v>98.88</v>
      </c>
      <c r="E15" s="23">
        <v>380.94</v>
      </c>
      <c r="G15" s="21">
        <f t="shared" ca="1" si="1"/>
        <v>44575.666666666599</v>
      </c>
      <c r="H15" s="19">
        <f t="shared" ref="H15:J15" ca="1" si="13">(C15/C14) - 1</f>
        <v>-6.1463472626760995E-2</v>
      </c>
      <c r="I15" s="19">
        <f t="shared" si="13"/>
        <v>-3.5787420770355904E-2</v>
      </c>
      <c r="J15" s="17">
        <f t="shared" si="13"/>
        <v>-2.5230296827021492E-2</v>
      </c>
    </row>
    <row r="16" spans="1:21" ht="15.75" customHeight="1" x14ac:dyDescent="0.25">
      <c r="B16" s="21">
        <f ca="1">IFERROR(__xludf.DUMMYFUNCTION("""COMPUTED_VALUE"""),44579.6666666666)</f>
        <v>44579.666666666599</v>
      </c>
      <c r="C16" s="22">
        <f ca="1">IFERROR(__xludf.DUMMYFUNCTION("""COMPUTED_VALUE"""),151.27)</f>
        <v>151.27000000000001</v>
      </c>
      <c r="D16" s="22">
        <v>94.01</v>
      </c>
      <c r="E16" s="23">
        <v>354.4</v>
      </c>
      <c r="G16" s="21">
        <f t="shared" ca="1" si="1"/>
        <v>44579.666666666599</v>
      </c>
      <c r="H16" s="19">
        <f t="shared" ref="H16:J16" ca="1" si="14">(C16/C15) - 1</f>
        <v>-4.1927924504401637E-2</v>
      </c>
      <c r="I16" s="19">
        <f t="shared" si="14"/>
        <v>-4.9251618122977292E-2</v>
      </c>
      <c r="J16" s="17">
        <f t="shared" si="14"/>
        <v>-6.966976426733873E-2</v>
      </c>
      <c r="L16" s="34" t="s">
        <v>21</v>
      </c>
      <c r="M16" s="35" t="s">
        <v>3</v>
      </c>
      <c r="N16" s="36" t="s">
        <v>4</v>
      </c>
      <c r="O16" s="37" t="s">
        <v>5</v>
      </c>
      <c r="Q16" s="8" t="s">
        <v>22</v>
      </c>
      <c r="R16" s="10" t="s">
        <v>3</v>
      </c>
      <c r="S16" s="9" t="s">
        <v>4</v>
      </c>
      <c r="T16" s="10" t="s">
        <v>5</v>
      </c>
      <c r="U16" s="38" t="s">
        <v>9</v>
      </c>
    </row>
    <row r="17" spans="2:21" ht="15.75" customHeight="1" x14ac:dyDescent="0.25">
      <c r="B17" s="21">
        <f ca="1">IFERROR(__xludf.DUMMYFUNCTION("""COMPUTED_VALUE"""),44580.6666666666)</f>
        <v>44580.666666666599</v>
      </c>
      <c r="C17" s="22">
        <f ca="1">IFERROR(__xludf.DUMMYFUNCTION("""COMPUTED_VALUE"""),148.93)</f>
        <v>148.93</v>
      </c>
      <c r="D17" s="22">
        <v>95.73</v>
      </c>
      <c r="E17" s="23">
        <v>347.32</v>
      </c>
      <c r="G17" s="21">
        <f t="shared" ca="1" si="1"/>
        <v>44580.666666666599</v>
      </c>
      <c r="H17" s="19">
        <f t="shared" ref="H17:J17" ca="1" si="15">(C17/C16) - 1</f>
        <v>-1.546902888874202E-2</v>
      </c>
      <c r="I17" s="19">
        <f t="shared" si="15"/>
        <v>1.8295925965322812E-2</v>
      </c>
      <c r="J17" s="17">
        <f t="shared" si="15"/>
        <v>-1.9977426636568762E-2</v>
      </c>
      <c r="L17" s="39" t="s">
        <v>3</v>
      </c>
      <c r="M17" s="40">
        <f ca="1">CORREL(H7:H758, H7:H758)</f>
        <v>0.99999999999999978</v>
      </c>
      <c r="N17" s="41">
        <f ca="1">CORREL(H7:H758, I7:I758)</f>
        <v>0.70239466042285303</v>
      </c>
      <c r="O17" s="42">
        <f ca="1">CORREL(H7:H758, J7:J758)</f>
        <v>0.75000984064942922</v>
      </c>
      <c r="Q17" s="18" t="s">
        <v>13</v>
      </c>
      <c r="R17" s="19">
        <v>1.0000009999999997</v>
      </c>
      <c r="S17" s="20">
        <v>0</v>
      </c>
      <c r="T17" s="16">
        <v>0</v>
      </c>
      <c r="U17" s="17">
        <f>SUM(R17:T17)</f>
        <v>1.0000009999999997</v>
      </c>
    </row>
    <row r="18" spans="2:21" ht="15.75" customHeight="1" x14ac:dyDescent="0.25">
      <c r="B18" s="21">
        <f ca="1">IFERROR(__xludf.DUMMYFUNCTION("""COMPUTED_VALUE"""),44581.6666666666)</f>
        <v>44581.666666666599</v>
      </c>
      <c r="C18" s="22">
        <f ca="1">IFERROR(__xludf.DUMMYFUNCTION("""COMPUTED_VALUE"""),147.66)</f>
        <v>147.66</v>
      </c>
      <c r="D18" s="22">
        <v>99.83</v>
      </c>
      <c r="E18" s="23">
        <v>348.1</v>
      </c>
      <c r="G18" s="21">
        <f t="shared" ca="1" si="1"/>
        <v>44581.666666666599</v>
      </c>
      <c r="H18" s="19">
        <f t="shared" ref="H18:J18" ca="1" si="16">(C18/C17) - 1</f>
        <v>-8.5274961391258453E-3</v>
      </c>
      <c r="I18" s="19">
        <f t="shared" si="16"/>
        <v>4.2828789303248627E-2</v>
      </c>
      <c r="J18" s="17">
        <f t="shared" si="16"/>
        <v>2.2457675918461373E-3</v>
      </c>
      <c r="L18" s="39" t="s">
        <v>4</v>
      </c>
      <c r="M18" s="40">
        <f ca="1">CORREL(I7:I758, H7:H758)</f>
        <v>0.70239466042285303</v>
      </c>
      <c r="N18" s="41">
        <f>CORREL(I7:I758, I7:I758)</f>
        <v>0.99999999999999978</v>
      </c>
      <c r="O18" s="42">
        <f>CORREL(I7:I758, J7:J758)</f>
        <v>0.79763303168364197</v>
      </c>
      <c r="Q18" s="18" t="s">
        <v>12</v>
      </c>
      <c r="R18" s="19">
        <f ca="1">SUMPRODUCT(R17:T17,M5:O5)</f>
        <v>6.4765992405681617E-4</v>
      </c>
      <c r="S18" s="18" t="s">
        <v>15</v>
      </c>
      <c r="T18" s="20">
        <f ca="1">R18*252</f>
        <v>0.16321030086231766</v>
      </c>
      <c r="U18" s="23" t="s">
        <v>16</v>
      </c>
    </row>
    <row r="19" spans="2:21" ht="15.75" customHeight="1" x14ac:dyDescent="0.25">
      <c r="B19" s="21">
        <f ca="1">IFERROR(__xludf.DUMMYFUNCTION("""COMPUTED_VALUE"""),44582.6666666666)</f>
        <v>44582.666666666599</v>
      </c>
      <c r="C19" s="22">
        <f ca="1">IFERROR(__xludf.DUMMYFUNCTION("""COMPUTED_VALUE"""),145.08)</f>
        <v>145.08000000000001</v>
      </c>
      <c r="D19" s="22">
        <v>98.86</v>
      </c>
      <c r="E19" s="23">
        <v>343.91</v>
      </c>
      <c r="G19" s="21">
        <f t="shared" ca="1" si="1"/>
        <v>44582.666666666599</v>
      </c>
      <c r="H19" s="19">
        <f t="shared" ref="H19:J19" ca="1" si="17">(C19/C18) - 1</f>
        <v>-1.7472572125152297E-2</v>
      </c>
      <c r="I19" s="19">
        <f t="shared" si="17"/>
        <v>-9.7165180807372575E-3</v>
      </c>
      <c r="J19" s="17">
        <f t="shared" si="17"/>
        <v>-1.2036771042803762E-2</v>
      </c>
      <c r="L19" s="43" t="s">
        <v>5</v>
      </c>
      <c r="M19" s="44">
        <f ca="1">CORREL(J7:J758, H7:H758)</f>
        <v>0.75000984064942922</v>
      </c>
      <c r="N19" s="45">
        <f>CORREL(J7:J758, I7:I758)</f>
        <v>0.79763303168364197</v>
      </c>
      <c r="O19" s="46">
        <f>CORREL(J7:J758, J7:J758)</f>
        <v>1</v>
      </c>
      <c r="Q19" s="18" t="s">
        <v>14</v>
      </c>
      <c r="R19" s="19">
        <f t="array" aca="1" ref="R19" ca="1">SQRT(MMULT((R17:T17), MMULT(M12:O14, TRANSPOSE(R17:T17))))</f>
        <v>1.5789030985538674E-2</v>
      </c>
      <c r="S19" s="18" t="s">
        <v>15</v>
      </c>
      <c r="T19" s="20">
        <f ca="1">R19*SQRT(252)</f>
        <v>0.25064309658257033</v>
      </c>
      <c r="U19" s="23" t="s">
        <v>16</v>
      </c>
    </row>
    <row r="20" spans="2:21" ht="15.75" customHeight="1" x14ac:dyDescent="0.25">
      <c r="B20" s="21">
        <f ca="1">IFERROR(__xludf.DUMMYFUNCTION("""COMPUTED_VALUE"""),44585.6666666666)</f>
        <v>44585.666666666599</v>
      </c>
      <c r="C20" s="22">
        <f ca="1">IFERROR(__xludf.DUMMYFUNCTION("""COMPUTED_VALUE"""),144.95)</f>
        <v>144.94999999999999</v>
      </c>
      <c r="D20" s="22">
        <v>98.08</v>
      </c>
      <c r="E20" s="23">
        <v>343.39</v>
      </c>
      <c r="G20" s="21">
        <f t="shared" ca="1" si="1"/>
        <v>44585.666666666599</v>
      </c>
      <c r="H20" s="19">
        <f t="shared" ref="H20:J20" ca="1" si="18">(C20/C19) - 1</f>
        <v>-8.9605734767039813E-4</v>
      </c>
      <c r="I20" s="19">
        <f t="shared" si="18"/>
        <v>-7.8899453773012551E-3</v>
      </c>
      <c r="J20" s="17">
        <f t="shared" si="18"/>
        <v>-1.5120234945190658E-3</v>
      </c>
      <c r="Q20" s="11" t="s">
        <v>18</v>
      </c>
      <c r="R20" s="29">
        <f ca="1">R18/R19</f>
        <v>4.101961194768787E-2</v>
      </c>
      <c r="S20" s="11" t="s">
        <v>15</v>
      </c>
      <c r="T20" s="27">
        <f ca="1">T18/T19</f>
        <v>0.65116615253973553</v>
      </c>
      <c r="U20" s="13" t="s">
        <v>16</v>
      </c>
    </row>
    <row r="21" spans="2:21" ht="15.75" customHeight="1" x14ac:dyDescent="0.25">
      <c r="B21" s="21">
        <f ca="1">IFERROR(__xludf.DUMMYFUNCTION("""COMPUTED_VALUE"""),44586.6666666666)</f>
        <v>44586.666666666599</v>
      </c>
      <c r="C21" s="22">
        <f ca="1">IFERROR(__xludf.DUMMYFUNCTION("""COMPUTED_VALUE"""),146.53)</f>
        <v>146.53</v>
      </c>
      <c r="D21" s="22">
        <v>99.04</v>
      </c>
      <c r="E21" s="23">
        <v>341.55</v>
      </c>
      <c r="G21" s="21">
        <f t="shared" ca="1" si="1"/>
        <v>44586.666666666599</v>
      </c>
      <c r="H21" s="19">
        <f t="shared" ref="H21:J21" ca="1" si="19">(C21/C20) - 1</f>
        <v>1.0900310451880113E-2</v>
      </c>
      <c r="I21" s="19">
        <f t="shared" si="19"/>
        <v>9.7879282218598096E-3</v>
      </c>
      <c r="J21" s="17">
        <f t="shared" si="19"/>
        <v>-5.3583389149363114E-3</v>
      </c>
    </row>
    <row r="22" spans="2:21" ht="15.75" customHeight="1" x14ac:dyDescent="0.25">
      <c r="B22" s="21">
        <f ca="1">IFERROR(__xludf.DUMMYFUNCTION("""COMPUTED_VALUE"""),44587.6666666666)</f>
        <v>44587.666666666599</v>
      </c>
      <c r="C22" s="22">
        <f ca="1">IFERROR(__xludf.DUMMYFUNCTION("""COMPUTED_VALUE"""),147.92)</f>
        <v>147.91999999999999</v>
      </c>
      <c r="D22" s="22">
        <v>100.17</v>
      </c>
      <c r="E22" s="23">
        <v>342.68</v>
      </c>
      <c r="G22" s="21">
        <f t="shared" ca="1" si="1"/>
        <v>44587.666666666599</v>
      </c>
      <c r="H22" s="19">
        <f t="shared" ref="H22:J22" ca="1" si="20">(C22/C21) - 1</f>
        <v>9.4861120589639913E-3</v>
      </c>
      <c r="I22" s="19">
        <f t="shared" si="20"/>
        <v>1.1409531502423187E-2</v>
      </c>
      <c r="J22" s="17">
        <f t="shared" si="20"/>
        <v>3.3084467867077194E-3</v>
      </c>
      <c r="Q22" s="47" t="s">
        <v>23</v>
      </c>
      <c r="R22" s="9" t="s">
        <v>3</v>
      </c>
      <c r="S22" s="10" t="s">
        <v>4</v>
      </c>
      <c r="T22" s="9" t="s">
        <v>5</v>
      </c>
      <c r="U22" s="38" t="s">
        <v>9</v>
      </c>
    </row>
    <row r="23" spans="2:21" ht="15.75" customHeight="1" x14ac:dyDescent="0.25">
      <c r="B23" s="21">
        <f ca="1">IFERROR(__xludf.DUMMYFUNCTION("""COMPUTED_VALUE"""),44588.6666666666)</f>
        <v>44588.666666666599</v>
      </c>
      <c r="C23" s="22">
        <f ca="1">IFERROR(__xludf.DUMMYFUNCTION("""COMPUTED_VALUE"""),145.31)</f>
        <v>145.31</v>
      </c>
      <c r="D23" s="22">
        <v>101.15</v>
      </c>
      <c r="E23" s="23">
        <v>341.03</v>
      </c>
      <c r="G23" s="21">
        <f t="shared" ca="1" si="1"/>
        <v>44588.666666666599</v>
      </c>
      <c r="H23" s="19">
        <f t="shared" ref="H23:J23" ca="1" si="21">(C23/C22) - 1</f>
        <v>-1.7644672796105931E-2</v>
      </c>
      <c r="I23" s="19">
        <f t="shared" si="21"/>
        <v>9.7833682739343342E-3</v>
      </c>
      <c r="J23" s="17">
        <f t="shared" si="21"/>
        <v>-4.8149877436676203E-3</v>
      </c>
      <c r="Q23" s="15" t="s">
        <v>13</v>
      </c>
      <c r="R23" s="20">
        <v>0.65846568443051101</v>
      </c>
      <c r="S23" s="19">
        <v>0</v>
      </c>
      <c r="T23" s="20">
        <v>0.34153431556951863</v>
      </c>
      <c r="U23" s="17">
        <f>SUM(R23:T23)</f>
        <v>1.0000000000000298</v>
      </c>
    </row>
    <row r="24" spans="2:21" ht="15.75" customHeight="1" x14ac:dyDescent="0.25">
      <c r="B24" s="21">
        <f ca="1">IFERROR(__xludf.DUMMYFUNCTION("""COMPUTED_VALUE"""),44589.6666666666)</f>
        <v>44589.666666666599</v>
      </c>
      <c r="C24" s="22">
        <f ca="1">IFERROR(__xludf.DUMMYFUNCTION("""COMPUTED_VALUE"""),146.61)</f>
        <v>146.61000000000001</v>
      </c>
      <c r="D24" s="22">
        <v>101.8</v>
      </c>
      <c r="E24" s="23">
        <v>347.01</v>
      </c>
      <c r="G24" s="21">
        <f t="shared" ca="1" si="1"/>
        <v>44589.666666666599</v>
      </c>
      <c r="H24" s="19">
        <f t="shared" ref="H24:J24" ca="1" si="22">(C24/C23) - 1</f>
        <v>8.9463904755351376E-3</v>
      </c>
      <c r="I24" s="19">
        <f t="shared" si="22"/>
        <v>6.4260998517053913E-3</v>
      </c>
      <c r="J24" s="17">
        <f t="shared" si="22"/>
        <v>1.7535114212825942E-2</v>
      </c>
      <c r="Q24" s="15" t="s">
        <v>12</v>
      </c>
      <c r="R24" s="20">
        <f ca="1">SUMPRODUCT(R23:T23,M5:O5)</f>
        <v>6.4233562759419694E-4</v>
      </c>
      <c r="S24" s="22" t="s">
        <v>15</v>
      </c>
      <c r="T24" s="20">
        <f ca="1">R24*252</f>
        <v>0.16186857815373762</v>
      </c>
      <c r="U24" s="23" t="s">
        <v>16</v>
      </c>
    </row>
    <row r="25" spans="2:21" ht="15.75" customHeight="1" x14ac:dyDescent="0.25">
      <c r="B25" s="21">
        <f ca="1">IFERROR(__xludf.DUMMYFUNCTION("""COMPUTED_VALUE"""),44592.6666666666)</f>
        <v>44592.666666666599</v>
      </c>
      <c r="C25" s="22">
        <f ca="1">IFERROR(__xludf.DUMMYFUNCTION("""COMPUTED_VALUE"""),148.6)</f>
        <v>148.6</v>
      </c>
      <c r="D25" s="22">
        <v>102.54</v>
      </c>
      <c r="E25" s="23">
        <v>354.68</v>
      </c>
      <c r="G25" s="21">
        <f t="shared" ca="1" si="1"/>
        <v>44592.666666666599</v>
      </c>
      <c r="H25" s="19">
        <f t="shared" ref="H25:J25" ca="1" si="23">(C25/C24) - 1</f>
        <v>1.3573426096446184E-2</v>
      </c>
      <c r="I25" s="19">
        <f t="shared" si="23"/>
        <v>7.2691552062869036E-3</v>
      </c>
      <c r="J25" s="17">
        <f t="shared" si="23"/>
        <v>2.2103109420477773E-2</v>
      </c>
      <c r="Q25" s="15" t="s">
        <v>14</v>
      </c>
      <c r="R25" s="20">
        <f t="array" aca="1" ref="R25" ca="1">SQRT(MMULT((R23:T23), MMULT(M12:O14, TRANSPOSE(R23:T23))))</f>
        <v>1.5164378771346364E-2</v>
      </c>
      <c r="S25" s="22" t="s">
        <v>15</v>
      </c>
      <c r="T25" s="20">
        <f ca="1">R25*SQRT(252)</f>
        <v>0.24072705009461814</v>
      </c>
      <c r="U25" s="23" t="s">
        <v>16</v>
      </c>
    </row>
    <row r="26" spans="2:21" ht="15.75" customHeight="1" x14ac:dyDescent="0.25">
      <c r="B26" s="21">
        <f ca="1">IFERROR(__xludf.DUMMYFUNCTION("""COMPUTED_VALUE"""),44593.6666666666)</f>
        <v>44593.666666666599</v>
      </c>
      <c r="C26" s="22">
        <f ca="1">IFERROR(__xludf.DUMMYFUNCTION("""COMPUTED_VALUE"""),151.15)</f>
        <v>151.15</v>
      </c>
      <c r="D26" s="22">
        <v>103.95</v>
      </c>
      <c r="E26" s="23">
        <v>364.06</v>
      </c>
      <c r="G26" s="21">
        <f t="shared" ca="1" si="1"/>
        <v>44593.666666666599</v>
      </c>
      <c r="H26" s="19">
        <f t="shared" ref="H26:J26" ca="1" si="24">(C26/C25) - 1</f>
        <v>1.7160161507402405E-2</v>
      </c>
      <c r="I26" s="19">
        <f t="shared" si="24"/>
        <v>1.3750731421884099E-2</v>
      </c>
      <c r="J26" s="17">
        <f t="shared" si="24"/>
        <v>2.6446374196458677E-2</v>
      </c>
      <c r="Q26" s="14" t="s">
        <v>18</v>
      </c>
      <c r="R26" s="27">
        <f ca="1">R24/R25</f>
        <v>4.2358189364665108E-2</v>
      </c>
      <c r="S26" s="12" t="s">
        <v>15</v>
      </c>
      <c r="T26" s="27">
        <f ca="1">T24/T25</f>
        <v>0.67241541027530938</v>
      </c>
      <c r="U26" s="13" t="s">
        <v>16</v>
      </c>
    </row>
    <row r="27" spans="2:21" ht="15.75" customHeight="1" x14ac:dyDescent="0.25">
      <c r="B27" s="21">
        <f ca="1">IFERROR(__xludf.DUMMYFUNCTION("""COMPUTED_VALUE"""),44594.6666666666)</f>
        <v>44594.666666666599</v>
      </c>
      <c r="C27" s="22">
        <f ca="1">IFERROR(__xludf.DUMMYFUNCTION("""COMPUTED_VALUE"""),149.94)</f>
        <v>149.94</v>
      </c>
      <c r="D27" s="22">
        <v>103.92</v>
      </c>
      <c r="E27" s="23">
        <v>363.06</v>
      </c>
      <c r="G27" s="21">
        <f t="shared" ca="1" si="1"/>
        <v>44594.666666666599</v>
      </c>
      <c r="H27" s="19">
        <f t="shared" ref="H27:J27" ca="1" si="25">(C27/C26) - 1</f>
        <v>-8.0052927555409603E-3</v>
      </c>
      <c r="I27" s="19">
        <f t="shared" si="25"/>
        <v>-2.8860028860033804E-4</v>
      </c>
      <c r="J27" s="17">
        <f t="shared" si="25"/>
        <v>-2.7467999780256269E-3</v>
      </c>
    </row>
    <row r="28" spans="2:21" ht="15.75" customHeight="1" x14ac:dyDescent="0.25">
      <c r="B28" s="21">
        <f ca="1">IFERROR(__xludf.DUMMYFUNCTION("""COMPUTED_VALUE"""),44595.6666666666)</f>
        <v>44595.666666666599</v>
      </c>
      <c r="C28" s="22">
        <f ca="1">IFERROR(__xludf.DUMMYFUNCTION("""COMPUTED_VALUE"""),148.7)</f>
        <v>148.69999999999999</v>
      </c>
      <c r="D28" s="22">
        <v>102.29</v>
      </c>
      <c r="E28" s="23">
        <v>358.88</v>
      </c>
      <c r="G28" s="21">
        <f t="shared" ca="1" si="1"/>
        <v>44595.666666666599</v>
      </c>
      <c r="H28" s="19">
        <f t="shared" ref="H28:J28" ca="1" si="26">(C28/C27) - 1</f>
        <v>-8.2699746565293442E-3</v>
      </c>
      <c r="I28" s="19">
        <f t="shared" si="26"/>
        <v>-1.5685142417243947E-2</v>
      </c>
      <c r="J28" s="17">
        <f t="shared" si="26"/>
        <v>-1.1513248498870698E-2</v>
      </c>
    </row>
    <row r="29" spans="2:21" ht="15.75" customHeight="1" x14ac:dyDescent="0.25">
      <c r="B29" s="21">
        <f ca="1">IFERROR(__xludf.DUMMYFUNCTION("""COMPUTED_VALUE"""),44596.6666666666)</f>
        <v>44596.666666666599</v>
      </c>
      <c r="C29" s="22">
        <f ca="1">IFERROR(__xludf.DUMMYFUNCTION("""COMPUTED_VALUE"""),152.56)</f>
        <v>152.56</v>
      </c>
      <c r="D29" s="22">
        <v>104.11</v>
      </c>
      <c r="E29" s="23">
        <v>367.6</v>
      </c>
      <c r="G29" s="21">
        <f t="shared" ca="1" si="1"/>
        <v>44596.666666666599</v>
      </c>
      <c r="H29" s="19">
        <f t="shared" ref="H29:J29" ca="1" si="27">(C29/C28) - 1</f>
        <v>2.595830531271015E-2</v>
      </c>
      <c r="I29" s="19">
        <f t="shared" si="27"/>
        <v>1.7792550591455569E-2</v>
      </c>
      <c r="J29" s="17">
        <f t="shared" si="27"/>
        <v>2.4297815425769143E-2</v>
      </c>
    </row>
    <row r="30" spans="2:21" ht="15.75" customHeight="1" x14ac:dyDescent="0.25">
      <c r="B30" s="21">
        <f ca="1">IFERROR(__xludf.DUMMYFUNCTION("""COMPUTED_VALUE"""),44599.6666666666)</f>
        <v>44599.666666666599</v>
      </c>
      <c r="C30" s="22">
        <f ca="1">IFERROR(__xludf.DUMMYFUNCTION("""COMPUTED_VALUE"""),153.07)</f>
        <v>153.07</v>
      </c>
      <c r="D30" s="22">
        <v>105.18</v>
      </c>
      <c r="E30" s="23">
        <v>368.15</v>
      </c>
      <c r="G30" s="21">
        <f t="shared" ca="1" si="1"/>
        <v>44599.666666666599</v>
      </c>
      <c r="H30" s="19">
        <f t="shared" ref="H30:J30" ca="1" si="28">(C30/C29) - 1</f>
        <v>3.3429470372312586E-3</v>
      </c>
      <c r="I30" s="19">
        <f t="shared" si="28"/>
        <v>1.0277591009509202E-2</v>
      </c>
      <c r="J30" s="17">
        <f t="shared" si="28"/>
        <v>1.4961915125135672E-3</v>
      </c>
    </row>
    <row r="31" spans="2:21" ht="15.75" customHeight="1" x14ac:dyDescent="0.25">
      <c r="B31" s="21">
        <f ca="1">IFERROR(__xludf.DUMMYFUNCTION("""COMPUTED_VALUE"""),44600.6666666666)</f>
        <v>44600.666666666599</v>
      </c>
      <c r="C31" s="22">
        <f ca="1">IFERROR(__xludf.DUMMYFUNCTION("""COMPUTED_VALUE"""),155.95)</f>
        <v>155.94999999999999</v>
      </c>
      <c r="D31" s="22">
        <v>106.35</v>
      </c>
      <c r="E31" s="23">
        <v>370.1</v>
      </c>
      <c r="G31" s="21">
        <f t="shared" ca="1" si="1"/>
        <v>44600.666666666599</v>
      </c>
      <c r="H31" s="19">
        <f t="shared" ref="H31:J31" ca="1" si="29">(C31/C30) - 1</f>
        <v>1.8814921277846786E-2</v>
      </c>
      <c r="I31" s="19">
        <f t="shared" si="29"/>
        <v>1.1123787792355788E-2</v>
      </c>
      <c r="J31" s="17">
        <f t="shared" si="29"/>
        <v>5.2967540404726954E-3</v>
      </c>
    </row>
    <row r="32" spans="2:21" ht="15.75" customHeight="1" x14ac:dyDescent="0.25">
      <c r="B32" s="21">
        <f ca="1">IFERROR(__xludf.DUMMYFUNCTION("""COMPUTED_VALUE"""),44601.6666666666)</f>
        <v>44601.666666666599</v>
      </c>
      <c r="C32" s="22">
        <f ca="1">IFERROR(__xludf.DUMMYFUNCTION("""COMPUTED_VALUE"""),156.6)</f>
        <v>156.6</v>
      </c>
      <c r="D32" s="22">
        <v>108.73</v>
      </c>
      <c r="E32" s="23">
        <v>374.53</v>
      </c>
      <c r="G32" s="21">
        <f t="shared" ca="1" si="1"/>
        <v>44601.666666666599</v>
      </c>
      <c r="H32" s="19">
        <f t="shared" ref="H32:J32" ca="1" si="30">(C32/C31) - 1</f>
        <v>4.1680025649246666E-3</v>
      </c>
      <c r="I32" s="19">
        <f t="shared" si="30"/>
        <v>2.2378937470616034E-2</v>
      </c>
      <c r="J32" s="17">
        <f t="shared" si="30"/>
        <v>1.1969737908673173E-2</v>
      </c>
    </row>
    <row r="33" spans="2:10" ht="15.75" customHeight="1" x14ac:dyDescent="0.25">
      <c r="B33" s="21">
        <f ca="1">IFERROR(__xludf.DUMMYFUNCTION("""COMPUTED_VALUE"""),44602.6666666666)</f>
        <v>44602.666666666599</v>
      </c>
      <c r="C33" s="22">
        <f ca="1">IFERROR(__xludf.DUMMYFUNCTION("""COMPUTED_VALUE"""),155.95)</f>
        <v>155.94999999999999</v>
      </c>
      <c r="D33" s="22">
        <v>107.57</v>
      </c>
      <c r="E33" s="23">
        <v>370.57</v>
      </c>
      <c r="G33" s="21">
        <f t="shared" ca="1" si="1"/>
        <v>44602.666666666599</v>
      </c>
      <c r="H33" s="19">
        <f t="shared" ref="H33:J33" ca="1" si="31">(C33/C32) - 1</f>
        <v>-4.1507024265645676E-3</v>
      </c>
      <c r="I33" s="19">
        <f t="shared" si="31"/>
        <v>-1.0668628713326633E-2</v>
      </c>
      <c r="J33" s="17">
        <f t="shared" si="31"/>
        <v>-1.0573251808933759E-2</v>
      </c>
    </row>
    <row r="34" spans="2:10" ht="15.75" customHeight="1" x14ac:dyDescent="0.25">
      <c r="B34" s="21">
        <f ca="1">IFERROR(__xludf.DUMMYFUNCTION("""COMPUTED_VALUE"""),44603.6666666666)</f>
        <v>44603.666666666599</v>
      </c>
      <c r="C34" s="22">
        <f ca="1">IFERROR(__xludf.DUMMYFUNCTION("""COMPUTED_VALUE"""),153.92)</f>
        <v>153.91999999999999</v>
      </c>
      <c r="D34" s="22">
        <v>104.57</v>
      </c>
      <c r="E34" s="23">
        <v>363.06</v>
      </c>
      <c r="G34" s="21">
        <f t="shared" ca="1" si="1"/>
        <v>44603.666666666599</v>
      </c>
      <c r="H34" s="19">
        <f t="shared" ref="H34:J34" ca="1" si="32">(C34/C33) - 1</f>
        <v>-1.3016992625841661E-2</v>
      </c>
      <c r="I34" s="19">
        <f t="shared" si="32"/>
        <v>-2.7888816584549558E-2</v>
      </c>
      <c r="J34" s="17">
        <f t="shared" si="32"/>
        <v>-2.0266076584720794E-2</v>
      </c>
    </row>
    <row r="35" spans="2:10" ht="15.75" customHeight="1" x14ac:dyDescent="0.25">
      <c r="B35" s="21">
        <f ca="1">IFERROR(__xludf.DUMMYFUNCTION("""COMPUTED_VALUE"""),44606.6666666666)</f>
        <v>44606.666666666599</v>
      </c>
      <c r="C35" s="22">
        <f ca="1">IFERROR(__xludf.DUMMYFUNCTION("""COMPUTED_VALUE"""),152.49)</f>
        <v>152.49</v>
      </c>
      <c r="D35" s="22">
        <v>102.57</v>
      </c>
      <c r="E35" s="23">
        <v>360.24</v>
      </c>
      <c r="G35" s="21">
        <f t="shared" ca="1" si="1"/>
        <v>44606.666666666599</v>
      </c>
      <c r="H35" s="19">
        <f t="shared" ref="H35:J35" ca="1" si="33">(C35/C34) - 1</f>
        <v>-9.2905405405403485E-3</v>
      </c>
      <c r="I35" s="19">
        <f t="shared" si="33"/>
        <v>-1.912594434350201E-2</v>
      </c>
      <c r="J35" s="17">
        <f t="shared" si="33"/>
        <v>-7.7673111882333723E-3</v>
      </c>
    </row>
    <row r="36" spans="2:10" ht="15.75" customHeight="1" x14ac:dyDescent="0.25">
      <c r="B36" s="21">
        <f ca="1">IFERROR(__xludf.DUMMYFUNCTION("""COMPUTED_VALUE"""),44607.6666666666)</f>
        <v>44607.666666666599</v>
      </c>
      <c r="C36" s="22">
        <f ca="1">IFERROR(__xludf.DUMMYFUNCTION("""COMPUTED_VALUE"""),154.72)</f>
        <v>154.72</v>
      </c>
      <c r="D36" s="22">
        <v>103.43</v>
      </c>
      <c r="E36" s="23">
        <v>363.94</v>
      </c>
      <c r="G36" s="21">
        <f t="shared" ca="1" si="1"/>
        <v>44607.666666666599</v>
      </c>
      <c r="H36" s="19">
        <f t="shared" ref="H36:J36" ca="1" si="34">(C36/C35) - 1</f>
        <v>1.4623909764574616E-2</v>
      </c>
      <c r="I36" s="19">
        <f t="shared" si="34"/>
        <v>8.3845178902215434E-3</v>
      </c>
      <c r="J36" s="17">
        <f t="shared" si="34"/>
        <v>1.027093049078398E-2</v>
      </c>
    </row>
    <row r="37" spans="2:10" ht="15.75" customHeight="1" x14ac:dyDescent="0.25">
      <c r="B37" s="21">
        <f ca="1">IFERROR(__xludf.DUMMYFUNCTION("""COMPUTED_VALUE"""),44608.6666666666)</f>
        <v>44608.666666666599</v>
      </c>
      <c r="C37" s="22">
        <f ca="1">IFERROR(__xludf.DUMMYFUNCTION("""COMPUTED_VALUE"""),155)</f>
        <v>155</v>
      </c>
      <c r="D37" s="22">
        <v>101.15</v>
      </c>
      <c r="E37" s="23">
        <v>360.05</v>
      </c>
      <c r="G37" s="21">
        <f t="shared" ca="1" si="1"/>
        <v>44608.666666666599</v>
      </c>
      <c r="H37" s="19">
        <f t="shared" ref="H37:J37" ca="1" si="35">(C37/C36) - 1</f>
        <v>1.8097207859359976E-3</v>
      </c>
      <c r="I37" s="19">
        <f t="shared" si="35"/>
        <v>-2.2043894421347798E-2</v>
      </c>
      <c r="J37" s="17">
        <f t="shared" si="35"/>
        <v>-1.0688575039841663E-2</v>
      </c>
    </row>
    <row r="38" spans="2:10" ht="15.75" customHeight="1" x14ac:dyDescent="0.25">
      <c r="B38" s="21">
        <f ca="1">IFERROR(__xludf.DUMMYFUNCTION("""COMPUTED_VALUE"""),44609.6666666666)</f>
        <v>44609.666666666599</v>
      </c>
      <c r="C38" s="22">
        <f ca="1">IFERROR(__xludf.DUMMYFUNCTION("""COMPUTED_VALUE"""),151.43)</f>
        <v>151.43</v>
      </c>
      <c r="D38" s="22">
        <v>96.15</v>
      </c>
      <c r="E38" s="23">
        <v>349.06</v>
      </c>
      <c r="G38" s="21">
        <f t="shared" ca="1" si="1"/>
        <v>44609.666666666599</v>
      </c>
      <c r="H38" s="19">
        <f t="shared" ref="H38:J38" ca="1" si="36">(C38/C37) - 1</f>
        <v>-2.3032258064516031E-2</v>
      </c>
      <c r="I38" s="19">
        <f t="shared" si="36"/>
        <v>-4.9431537320810626E-2</v>
      </c>
      <c r="J38" s="17">
        <f t="shared" si="36"/>
        <v>-3.0523538397444816E-2</v>
      </c>
    </row>
    <row r="39" spans="2:10" ht="15.75" customHeight="1" x14ac:dyDescent="0.25">
      <c r="B39" s="21">
        <f ca="1">IFERROR(__xludf.DUMMYFUNCTION("""COMPUTED_VALUE"""),44610.6666666666)</f>
        <v>44610.666666666599</v>
      </c>
      <c r="C39" s="22">
        <f ca="1">IFERROR(__xludf.DUMMYFUNCTION("""COMPUTED_VALUE"""),152.14)</f>
        <v>152.13999999999999</v>
      </c>
      <c r="D39" s="22">
        <v>95.42</v>
      </c>
      <c r="E39" s="23">
        <v>346.04</v>
      </c>
      <c r="G39" s="21">
        <f t="shared" ca="1" si="1"/>
        <v>44610.666666666599</v>
      </c>
      <c r="H39" s="19">
        <f t="shared" ref="H39:J39" ca="1" si="37">(C39/C38) - 1</f>
        <v>4.6886350128771959E-3</v>
      </c>
      <c r="I39" s="19">
        <f t="shared" si="37"/>
        <v>-7.592303692147695E-3</v>
      </c>
      <c r="J39" s="17">
        <f t="shared" si="37"/>
        <v>-8.6518077121411352E-3</v>
      </c>
    </row>
    <row r="40" spans="2:10" ht="15.75" customHeight="1" x14ac:dyDescent="0.25">
      <c r="B40" s="21">
        <f ca="1">IFERROR(__xludf.DUMMYFUNCTION("""COMPUTED_VALUE"""),44614.6666666666)</f>
        <v>44614.666666666599</v>
      </c>
      <c r="C40" s="22">
        <f ca="1">IFERROR(__xludf.DUMMYFUNCTION("""COMPUTED_VALUE"""),151.87)</f>
        <v>151.87</v>
      </c>
      <c r="D40" s="22">
        <v>94.75</v>
      </c>
      <c r="E40" s="23">
        <v>344.27</v>
      </c>
      <c r="G40" s="21">
        <f t="shared" ca="1" si="1"/>
        <v>44614.666666666599</v>
      </c>
      <c r="H40" s="19">
        <f t="shared" ref="H40:J40" ca="1" si="38">(C40/C39) - 1</f>
        <v>-1.7746812146706148E-3</v>
      </c>
      <c r="I40" s="19">
        <f t="shared" si="38"/>
        <v>-7.0215887654579978E-3</v>
      </c>
      <c r="J40" s="17">
        <f t="shared" si="38"/>
        <v>-5.1150156051325002E-3</v>
      </c>
    </row>
    <row r="41" spans="2:10" ht="15.75" customHeight="1" x14ac:dyDescent="0.25">
      <c r="B41" s="21">
        <f ca="1">IFERROR(__xludf.DUMMYFUNCTION("""COMPUTED_VALUE"""),44615.6666666666)</f>
        <v>44615.666666666599</v>
      </c>
      <c r="C41" s="22">
        <f ca="1">IFERROR(__xludf.DUMMYFUNCTION("""COMPUTED_VALUE"""),148.69)</f>
        <v>148.69</v>
      </c>
      <c r="D41" s="22">
        <v>93.55</v>
      </c>
      <c r="E41" s="23">
        <v>341.19</v>
      </c>
      <c r="G41" s="21">
        <f t="shared" ca="1" si="1"/>
        <v>44615.666666666599</v>
      </c>
      <c r="H41" s="19">
        <f t="shared" ref="H41:J41" ca="1" si="39">(C41/C40) - 1</f>
        <v>-2.093896095344705E-2</v>
      </c>
      <c r="I41" s="19">
        <f t="shared" si="39"/>
        <v>-1.2664907651715018E-2</v>
      </c>
      <c r="J41" s="17">
        <f t="shared" si="39"/>
        <v>-8.9464664362273183E-3</v>
      </c>
    </row>
    <row r="42" spans="2:10" ht="15.75" customHeight="1" x14ac:dyDescent="0.25">
      <c r="B42" s="21">
        <f ca="1">IFERROR(__xludf.DUMMYFUNCTION("""COMPUTED_VALUE"""),44616.6666666666)</f>
        <v>44616.666666666599</v>
      </c>
      <c r="C42" s="22">
        <f ca="1">IFERROR(__xludf.DUMMYFUNCTION("""COMPUTED_VALUE"""),144.55)</f>
        <v>144.55000000000001</v>
      </c>
      <c r="D42" s="22">
        <v>91.81</v>
      </c>
      <c r="E42" s="23">
        <v>340.19</v>
      </c>
      <c r="G42" s="21">
        <f t="shared" ca="1" si="1"/>
        <v>44616.666666666599</v>
      </c>
      <c r="H42" s="19">
        <f t="shared" ref="H42:J42" ca="1" si="40">(C42/C41) - 1</f>
        <v>-2.7843163629026724E-2</v>
      </c>
      <c r="I42" s="19">
        <f t="shared" si="40"/>
        <v>-1.8599679315873807E-2</v>
      </c>
      <c r="J42" s="17">
        <f t="shared" si="40"/>
        <v>-2.9309182566897851E-3</v>
      </c>
    </row>
    <row r="43" spans="2:10" ht="15.75" customHeight="1" x14ac:dyDescent="0.25">
      <c r="B43" s="21">
        <f ca="1">IFERROR(__xludf.DUMMYFUNCTION("""COMPUTED_VALUE"""),44617.6666666666)</f>
        <v>44617.666666666599</v>
      </c>
      <c r="C43" s="22">
        <f ca="1">IFERROR(__xludf.DUMMYFUNCTION("""COMPUTED_VALUE"""),147.97)</f>
        <v>147.97</v>
      </c>
      <c r="D43" s="22">
        <v>94.55</v>
      </c>
      <c r="E43" s="23">
        <v>350.12</v>
      </c>
      <c r="G43" s="21">
        <f t="shared" ca="1" si="1"/>
        <v>44617.666666666599</v>
      </c>
      <c r="H43" s="19">
        <f t="shared" ref="H43:J43" ca="1" si="41">(C43/C42) - 1</f>
        <v>2.3659633344863318E-2</v>
      </c>
      <c r="I43" s="19">
        <f t="shared" si="41"/>
        <v>2.9844243546454541E-2</v>
      </c>
      <c r="J43" s="17">
        <f t="shared" si="41"/>
        <v>2.9189570534113418E-2</v>
      </c>
    </row>
    <row r="44" spans="2:10" ht="15.75" customHeight="1" x14ac:dyDescent="0.25">
      <c r="B44" s="21">
        <f ca="1">IFERROR(__xludf.DUMMYFUNCTION("""COMPUTED_VALUE"""),44620.6666666666)</f>
        <v>44620.666666666599</v>
      </c>
      <c r="C44" s="22">
        <f ca="1">IFERROR(__xludf.DUMMYFUNCTION("""COMPUTED_VALUE"""),141.8)</f>
        <v>141.80000000000001</v>
      </c>
      <c r="D44" s="22">
        <v>90.74</v>
      </c>
      <c r="E44" s="23">
        <v>341.29</v>
      </c>
      <c r="G44" s="21">
        <f t="shared" ca="1" si="1"/>
        <v>44620.666666666599</v>
      </c>
      <c r="H44" s="19">
        <f t="shared" ref="H44:J44" ca="1" si="42">(C44/C43) - 1</f>
        <v>-4.1697641413800057E-2</v>
      </c>
      <c r="I44" s="19">
        <f t="shared" si="42"/>
        <v>-4.0296139608672732E-2</v>
      </c>
      <c r="J44" s="17">
        <f t="shared" si="42"/>
        <v>-2.5219924597280841E-2</v>
      </c>
    </row>
    <row r="45" spans="2:10" ht="15.75" customHeight="1" x14ac:dyDescent="0.25">
      <c r="B45" s="21">
        <f ca="1">IFERROR(__xludf.DUMMYFUNCTION("""COMPUTED_VALUE"""),44621.6666666666)</f>
        <v>44621.666666666599</v>
      </c>
      <c r="C45" s="22">
        <f ca="1">IFERROR(__xludf.DUMMYFUNCTION("""COMPUTED_VALUE"""),136.45)</f>
        <v>136.44999999999999</v>
      </c>
      <c r="D45" s="22">
        <v>87.63</v>
      </c>
      <c r="E45" s="23">
        <v>328.2</v>
      </c>
      <c r="G45" s="21">
        <f t="shared" ca="1" si="1"/>
        <v>44621.666666666599</v>
      </c>
      <c r="H45" s="19">
        <f t="shared" ref="H45:J45" ca="1" si="43">(C45/C44) - 1</f>
        <v>-3.7729196050775848E-2</v>
      </c>
      <c r="I45" s="19">
        <f t="shared" si="43"/>
        <v>-3.4273749173462598E-2</v>
      </c>
      <c r="J45" s="17">
        <f t="shared" si="43"/>
        <v>-3.8354478595915564E-2</v>
      </c>
    </row>
    <row r="46" spans="2:10" ht="15.75" customHeight="1" x14ac:dyDescent="0.25">
      <c r="B46" s="21">
        <f ca="1">IFERROR(__xludf.DUMMYFUNCTION("""COMPUTED_VALUE"""),44622.6666666666)</f>
        <v>44622.666666666599</v>
      </c>
      <c r="C46" s="22">
        <f ca="1">IFERROR(__xludf.DUMMYFUNCTION("""COMPUTED_VALUE"""),139.28)</f>
        <v>139.28</v>
      </c>
      <c r="D46" s="22">
        <v>88.38</v>
      </c>
      <c r="E46" s="23">
        <v>336.38</v>
      </c>
      <c r="G46" s="21">
        <f t="shared" ca="1" si="1"/>
        <v>44622.666666666599</v>
      </c>
      <c r="H46" s="19">
        <f t="shared" ref="H46:J46" ca="1" si="44">(C46/C45) - 1</f>
        <v>2.0740197874679511E-2</v>
      </c>
      <c r="I46" s="19">
        <f t="shared" si="44"/>
        <v>8.5587127695994081E-3</v>
      </c>
      <c r="J46" s="17">
        <f t="shared" si="44"/>
        <v>2.4923826934795779E-2</v>
      </c>
    </row>
    <row r="47" spans="2:10" ht="15.75" customHeight="1" x14ac:dyDescent="0.25">
      <c r="B47" s="21">
        <f ca="1">IFERROR(__xludf.DUMMYFUNCTION("""COMPUTED_VALUE"""),44623.6666666666)</f>
        <v>44623.666666666599</v>
      </c>
      <c r="C47" s="22">
        <f ca="1">IFERROR(__xludf.DUMMYFUNCTION("""COMPUTED_VALUE"""),138.29)</f>
        <v>138.29</v>
      </c>
      <c r="D47" s="22">
        <v>87.78</v>
      </c>
      <c r="E47" s="23">
        <v>333.42</v>
      </c>
      <c r="G47" s="21">
        <f t="shared" ca="1" si="1"/>
        <v>44623.666666666599</v>
      </c>
      <c r="H47" s="19">
        <f t="shared" ref="H47:J47" ca="1" si="45">(C47/C46) - 1</f>
        <v>-7.1079839172889514E-3</v>
      </c>
      <c r="I47" s="19">
        <f t="shared" si="45"/>
        <v>-6.7888662593346139E-3</v>
      </c>
      <c r="J47" s="17">
        <f t="shared" si="45"/>
        <v>-8.7995719127177408E-3</v>
      </c>
    </row>
    <row r="48" spans="2:10" ht="15.75" customHeight="1" x14ac:dyDescent="0.25">
      <c r="B48" s="21">
        <f ca="1">IFERROR(__xludf.DUMMYFUNCTION("""COMPUTED_VALUE"""),44624.6666666666)</f>
        <v>44624.666666666599</v>
      </c>
      <c r="C48" s="22">
        <f ca="1">IFERROR(__xludf.DUMMYFUNCTION("""COMPUTED_VALUE"""),134.4)</f>
        <v>134.4</v>
      </c>
      <c r="D48" s="22">
        <v>86.36</v>
      </c>
      <c r="E48" s="23">
        <v>329.67</v>
      </c>
      <c r="G48" s="21">
        <f t="shared" ca="1" si="1"/>
        <v>44624.666666666599</v>
      </c>
      <c r="H48" s="19">
        <f t="shared" ref="H48:J48" ca="1" si="46">(C48/C47) - 1</f>
        <v>-2.8129293513630693E-2</v>
      </c>
      <c r="I48" s="19">
        <f t="shared" si="46"/>
        <v>-1.6176805650489845E-2</v>
      </c>
      <c r="J48" s="17">
        <f t="shared" si="46"/>
        <v>-1.1247075760302372E-2</v>
      </c>
    </row>
    <row r="49" spans="2:10" ht="15.75" customHeight="1" x14ac:dyDescent="0.25">
      <c r="B49" s="21">
        <f ca="1">IFERROR(__xludf.DUMMYFUNCTION("""COMPUTED_VALUE"""),44627.6666666666)</f>
        <v>44627.666666666599</v>
      </c>
      <c r="C49" s="22">
        <f ca="1">IFERROR(__xludf.DUMMYFUNCTION("""COMPUTED_VALUE"""),129.21)</f>
        <v>129.21</v>
      </c>
      <c r="D49" s="22">
        <v>83.45</v>
      </c>
      <c r="E49" s="23">
        <v>321.89</v>
      </c>
      <c r="G49" s="21">
        <f t="shared" ca="1" si="1"/>
        <v>44627.666666666599</v>
      </c>
      <c r="H49" s="19">
        <f t="shared" ref="H49:J49" ca="1" si="47">(C49/C48) - 1</f>
        <v>-3.8616071428571375E-2</v>
      </c>
      <c r="I49" s="19">
        <f t="shared" si="47"/>
        <v>-3.3696155627605306E-2</v>
      </c>
      <c r="J49" s="17">
        <f t="shared" si="47"/>
        <v>-2.359935693269033E-2</v>
      </c>
    </row>
    <row r="50" spans="2:10" ht="15.75" customHeight="1" x14ac:dyDescent="0.25">
      <c r="B50" s="21">
        <f ca="1">IFERROR(__xludf.DUMMYFUNCTION("""COMPUTED_VALUE"""),44628.6666666666)</f>
        <v>44628.666666666599</v>
      </c>
      <c r="C50" s="22">
        <f ca="1">IFERROR(__xludf.DUMMYFUNCTION("""COMPUTED_VALUE"""),128.3)</f>
        <v>128.30000000000001</v>
      </c>
      <c r="D50" s="22">
        <v>83.31</v>
      </c>
      <c r="E50" s="23">
        <v>321.37</v>
      </c>
      <c r="G50" s="21">
        <f t="shared" ca="1" si="1"/>
        <v>44628.666666666599</v>
      </c>
      <c r="H50" s="19">
        <f t="shared" ref="H50:J50" ca="1" si="48">(C50/C49) - 1</f>
        <v>-7.0427985450042252E-3</v>
      </c>
      <c r="I50" s="19">
        <f t="shared" si="48"/>
        <v>-1.6776512881965244E-3</v>
      </c>
      <c r="J50" s="17">
        <f t="shared" si="48"/>
        <v>-1.6154586970703599E-3</v>
      </c>
    </row>
    <row r="51" spans="2:10" ht="15.75" customHeight="1" x14ac:dyDescent="0.25">
      <c r="B51" s="21">
        <f ca="1">IFERROR(__xludf.DUMMYFUNCTION("""COMPUTED_VALUE"""),44629.6666666666)</f>
        <v>44629.666666666599</v>
      </c>
      <c r="C51" s="22">
        <f ca="1">IFERROR(__xludf.DUMMYFUNCTION("""COMPUTED_VALUE"""),133.44)</f>
        <v>133.44</v>
      </c>
      <c r="D51" s="22">
        <v>87.4</v>
      </c>
      <c r="E51" s="23">
        <v>333.59</v>
      </c>
      <c r="G51" s="21">
        <f t="shared" ca="1" si="1"/>
        <v>44629.666666666599</v>
      </c>
      <c r="H51" s="19">
        <f t="shared" ref="H51:J51" ca="1" si="49">(C51/C50) - 1</f>
        <v>4.0062353858144828E-2</v>
      </c>
      <c r="I51" s="19">
        <f t="shared" si="49"/>
        <v>4.9093746248949799E-2</v>
      </c>
      <c r="J51" s="17">
        <f t="shared" si="49"/>
        <v>3.8024706724336443E-2</v>
      </c>
    </row>
    <row r="52" spans="2:10" ht="15.75" customHeight="1" x14ac:dyDescent="0.25">
      <c r="B52" s="21">
        <f ca="1">IFERROR(__xludf.DUMMYFUNCTION("""COMPUTED_VALUE"""),44630.6666666666)</f>
        <v>44630.666666666599</v>
      </c>
      <c r="C52" s="22">
        <f ca="1">IFERROR(__xludf.DUMMYFUNCTION("""COMPUTED_VALUE"""),131.86)</f>
        <v>131.86000000000001</v>
      </c>
      <c r="D52" s="22">
        <v>85.86</v>
      </c>
      <c r="E52" s="23">
        <v>329.9</v>
      </c>
      <c r="G52" s="21">
        <f t="shared" ca="1" si="1"/>
        <v>44630.666666666599</v>
      </c>
      <c r="H52" s="19">
        <f t="shared" ref="H52:J52" ca="1" si="50">(C52/C51) - 1</f>
        <v>-1.1840527577937521E-2</v>
      </c>
      <c r="I52" s="19">
        <f t="shared" si="50"/>
        <v>-1.7620137299771188E-2</v>
      </c>
      <c r="J52" s="17">
        <f t="shared" si="50"/>
        <v>-1.106148265835305E-2</v>
      </c>
    </row>
    <row r="53" spans="2:10" ht="15.75" customHeight="1" x14ac:dyDescent="0.25">
      <c r="B53" s="21">
        <f ca="1">IFERROR(__xludf.DUMMYFUNCTION("""COMPUTED_VALUE"""),44631.6666666666)</f>
        <v>44631.666666666599</v>
      </c>
      <c r="C53" s="22">
        <f ca="1">IFERROR(__xludf.DUMMYFUNCTION("""COMPUTED_VALUE"""),128.89)</f>
        <v>128.88999999999999</v>
      </c>
      <c r="D53" s="22">
        <v>85.18</v>
      </c>
      <c r="E53" s="23">
        <v>327</v>
      </c>
      <c r="G53" s="21">
        <f t="shared" ca="1" si="1"/>
        <v>44631.666666666599</v>
      </c>
      <c r="H53" s="19">
        <f t="shared" ref="H53:J53" ca="1" si="51">(C53/C52) - 1</f>
        <v>-2.2523888973153494E-2</v>
      </c>
      <c r="I53" s="19">
        <f t="shared" si="51"/>
        <v>-7.9198695550896092E-3</v>
      </c>
      <c r="J53" s="17">
        <f t="shared" si="51"/>
        <v>-8.7905425886631861E-3</v>
      </c>
    </row>
    <row r="54" spans="2:10" ht="15.75" customHeight="1" x14ac:dyDescent="0.25">
      <c r="B54" s="21">
        <f ca="1">IFERROR(__xludf.DUMMYFUNCTION("""COMPUTED_VALUE"""),44634.6666666666)</f>
        <v>44634.666666666599</v>
      </c>
      <c r="C54" s="22">
        <f ca="1">IFERROR(__xludf.DUMMYFUNCTION("""COMPUTED_VALUE"""),130.17)</f>
        <v>130.16999999999999</v>
      </c>
      <c r="D54" s="22">
        <v>84.72</v>
      </c>
      <c r="E54" s="23">
        <v>324.98</v>
      </c>
      <c r="G54" s="21">
        <f t="shared" ca="1" si="1"/>
        <v>44634.666666666599</v>
      </c>
      <c r="H54" s="19">
        <f t="shared" ref="H54:J54" ca="1" si="52">(C54/C53) - 1</f>
        <v>9.9309488711303295E-3</v>
      </c>
      <c r="I54" s="19">
        <f t="shared" si="52"/>
        <v>-5.4003287156610957E-3</v>
      </c>
      <c r="J54" s="17">
        <f t="shared" si="52"/>
        <v>-6.177370030580942E-3</v>
      </c>
    </row>
    <row r="55" spans="2:10" ht="15.75" customHeight="1" x14ac:dyDescent="0.25">
      <c r="B55" s="21">
        <f ca="1">IFERROR(__xludf.DUMMYFUNCTION("""COMPUTED_VALUE"""),44635.6666666666)</f>
        <v>44635.666666666599</v>
      </c>
      <c r="C55" s="22">
        <f ca="1">IFERROR(__xludf.DUMMYFUNCTION("""COMPUTED_VALUE"""),132.48)</f>
        <v>132.47999999999999</v>
      </c>
      <c r="D55" s="22">
        <v>86.33</v>
      </c>
      <c r="E55" s="23">
        <v>329.16</v>
      </c>
      <c r="G55" s="21">
        <f t="shared" ca="1" si="1"/>
        <v>44635.666666666599</v>
      </c>
      <c r="H55" s="19">
        <f t="shared" ref="H55:J55" ca="1" si="53">(C55/C54) - 1</f>
        <v>1.7746024429592167E-2</v>
      </c>
      <c r="I55" s="19">
        <f t="shared" si="53"/>
        <v>1.9003777148252965E-2</v>
      </c>
      <c r="J55" s="17">
        <f t="shared" si="53"/>
        <v>1.2862329989537846E-2</v>
      </c>
    </row>
    <row r="56" spans="2:10" ht="15.75" customHeight="1" x14ac:dyDescent="0.25">
      <c r="B56" s="21">
        <f ca="1">IFERROR(__xludf.DUMMYFUNCTION("""COMPUTED_VALUE"""),44636.6666666666)</f>
        <v>44636.666666666599</v>
      </c>
      <c r="C56" s="22">
        <f ca="1">IFERROR(__xludf.DUMMYFUNCTION("""COMPUTED_VALUE"""),138.4)</f>
        <v>138.4</v>
      </c>
      <c r="D56" s="22">
        <v>91.76</v>
      </c>
      <c r="E56" s="23">
        <v>340.76</v>
      </c>
      <c r="G56" s="21">
        <f t="shared" ca="1" si="1"/>
        <v>44636.666666666599</v>
      </c>
      <c r="H56" s="19">
        <f t="shared" ref="H56:J56" ca="1" si="54">(C56/C55) - 1</f>
        <v>4.468599033816445E-2</v>
      </c>
      <c r="I56" s="19">
        <f t="shared" si="54"/>
        <v>6.2898181396965125E-2</v>
      </c>
      <c r="J56" s="17">
        <f t="shared" si="54"/>
        <v>3.5241220075343138E-2</v>
      </c>
    </row>
    <row r="57" spans="2:10" ht="15.75" customHeight="1" x14ac:dyDescent="0.25">
      <c r="B57" s="21">
        <f ca="1">IFERROR(__xludf.DUMMYFUNCTION("""COMPUTED_VALUE"""),44637.6666666666)</f>
        <v>44637.666666666599</v>
      </c>
      <c r="C57" s="22">
        <f ca="1">IFERROR(__xludf.DUMMYFUNCTION("""COMPUTED_VALUE"""),140.15)</f>
        <v>140.15</v>
      </c>
      <c r="D57" s="22">
        <v>93.86</v>
      </c>
      <c r="E57" s="23">
        <v>343.27</v>
      </c>
      <c r="G57" s="21">
        <f t="shared" ca="1" si="1"/>
        <v>44637.666666666599</v>
      </c>
      <c r="H57" s="19">
        <f t="shared" ref="H57:J57" ca="1" si="55">(C57/C56) - 1</f>
        <v>1.2644508670520249E-2</v>
      </c>
      <c r="I57" s="19">
        <f t="shared" si="55"/>
        <v>2.2885789014821301E-2</v>
      </c>
      <c r="J57" s="17">
        <f t="shared" si="55"/>
        <v>7.3658880150251349E-3</v>
      </c>
    </row>
    <row r="58" spans="2:10" ht="15.75" customHeight="1" x14ac:dyDescent="0.25">
      <c r="B58" s="21">
        <f ca="1">IFERROR(__xludf.DUMMYFUNCTION("""COMPUTED_VALUE"""),44638.6666666666)</f>
        <v>44638.666666666599</v>
      </c>
      <c r="C58" s="22">
        <f ca="1">IFERROR(__xludf.DUMMYFUNCTION("""COMPUTED_VALUE"""),140.1)</f>
        <v>140.1</v>
      </c>
      <c r="D58" s="22">
        <v>94.82</v>
      </c>
      <c r="E58" s="23">
        <v>345.38</v>
      </c>
      <c r="G58" s="21">
        <f t="shared" ca="1" si="1"/>
        <v>44638.666666666599</v>
      </c>
      <c r="H58" s="19">
        <f t="shared" ref="H58:J58" ca="1" si="56">(C58/C57) - 1</f>
        <v>-3.5676061362832634E-4</v>
      </c>
      <c r="I58" s="19">
        <f t="shared" si="56"/>
        <v>1.0227999147666589E-2</v>
      </c>
      <c r="J58" s="17">
        <f t="shared" si="56"/>
        <v>6.1467649372215494E-3</v>
      </c>
    </row>
    <row r="59" spans="2:10" ht="15.75" customHeight="1" x14ac:dyDescent="0.25">
      <c r="B59" s="21">
        <f ca="1">IFERROR(__xludf.DUMMYFUNCTION("""COMPUTED_VALUE"""),44641.6666666666)</f>
        <v>44641.666666666599</v>
      </c>
      <c r="C59" s="22">
        <f ca="1">IFERROR(__xludf.DUMMYFUNCTION("""COMPUTED_VALUE"""),139.65)</f>
        <v>139.65</v>
      </c>
      <c r="D59" s="22">
        <v>92.61</v>
      </c>
      <c r="E59" s="23">
        <v>339</v>
      </c>
      <c r="G59" s="21">
        <f t="shared" ca="1" si="1"/>
        <v>44641.666666666599</v>
      </c>
      <c r="H59" s="19">
        <f t="shared" ref="H59:J59" ca="1" si="57">(C59/C58) - 1</f>
        <v>-3.2119914346894207E-3</v>
      </c>
      <c r="I59" s="19">
        <f t="shared" si="57"/>
        <v>-2.3307319130984938E-2</v>
      </c>
      <c r="J59" s="17">
        <f t="shared" si="57"/>
        <v>-1.8472407203659724E-2</v>
      </c>
    </row>
    <row r="60" spans="2:10" ht="15.75" customHeight="1" x14ac:dyDescent="0.25">
      <c r="B60" s="21">
        <f ca="1">IFERROR(__xludf.DUMMYFUNCTION("""COMPUTED_VALUE"""),44642.6666666666)</f>
        <v>44642.666666666599</v>
      </c>
      <c r="C60" s="22">
        <f ca="1">IFERROR(__xludf.DUMMYFUNCTION("""COMPUTED_VALUE"""),142.62)</f>
        <v>142.62</v>
      </c>
      <c r="D60" s="22">
        <v>94.22</v>
      </c>
      <c r="E60" s="23">
        <v>343.01</v>
      </c>
      <c r="G60" s="21">
        <f t="shared" ca="1" si="1"/>
        <v>44642.666666666599</v>
      </c>
      <c r="H60" s="19">
        <f t="shared" ref="H60:J60" ca="1" si="58">(C60/C59) - 1</f>
        <v>2.1267454350161197E-2</v>
      </c>
      <c r="I60" s="19">
        <f t="shared" si="58"/>
        <v>1.7384731670445852E-2</v>
      </c>
      <c r="J60" s="17">
        <f t="shared" si="58"/>
        <v>1.1828908554572193E-2</v>
      </c>
    </row>
    <row r="61" spans="2:10" ht="15.75" customHeight="1" x14ac:dyDescent="0.25">
      <c r="B61" s="21">
        <f ca="1">IFERROR(__xludf.DUMMYFUNCTION("""COMPUTED_VALUE"""),44643.6666666666)</f>
        <v>44643.666666666599</v>
      </c>
      <c r="C61" s="22">
        <f ca="1">IFERROR(__xludf.DUMMYFUNCTION("""COMPUTED_VALUE"""),139.78)</f>
        <v>139.78</v>
      </c>
      <c r="D61" s="22">
        <v>92.38</v>
      </c>
      <c r="E61" s="23">
        <v>335.61</v>
      </c>
      <c r="G61" s="21">
        <f t="shared" ca="1" si="1"/>
        <v>44643.666666666599</v>
      </c>
      <c r="H61" s="19">
        <f t="shared" ref="H61:J61" ca="1" si="59">(C61/C60) - 1</f>
        <v>-1.9913055672416191E-2</v>
      </c>
      <c r="I61" s="19">
        <f t="shared" si="59"/>
        <v>-1.9528762470813033E-2</v>
      </c>
      <c r="J61" s="17">
        <f t="shared" si="59"/>
        <v>-2.15737150520392E-2</v>
      </c>
    </row>
    <row r="62" spans="2:10" ht="15.75" customHeight="1" x14ac:dyDescent="0.25">
      <c r="B62" s="21">
        <f ca="1">IFERROR(__xludf.DUMMYFUNCTION("""COMPUTED_VALUE"""),44644.6666666666)</f>
        <v>44644.666666666599</v>
      </c>
      <c r="C62" s="22">
        <f ca="1">IFERROR(__xludf.DUMMYFUNCTION("""COMPUTED_VALUE"""),140.69)</f>
        <v>140.69</v>
      </c>
      <c r="D62" s="22">
        <v>92.13</v>
      </c>
      <c r="E62" s="23">
        <v>336.23</v>
      </c>
      <c r="G62" s="21">
        <f t="shared" ca="1" si="1"/>
        <v>44644.666666666599</v>
      </c>
      <c r="H62" s="19">
        <f t="shared" ref="H62:J62" ca="1" si="60">(C62/C61) - 1</f>
        <v>6.5102303619974933E-3</v>
      </c>
      <c r="I62" s="19">
        <f t="shared" si="60"/>
        <v>-2.7062134661182125E-3</v>
      </c>
      <c r="J62" s="17">
        <f t="shared" si="60"/>
        <v>1.8473823783557997E-3</v>
      </c>
    </row>
    <row r="63" spans="2:10" ht="15.75" customHeight="1" x14ac:dyDescent="0.25">
      <c r="B63" s="21">
        <f ca="1">IFERROR(__xludf.DUMMYFUNCTION("""COMPUTED_VALUE"""),44645.6666666666)</f>
        <v>44645.666666666599</v>
      </c>
      <c r="C63" s="22">
        <f ca="1">IFERROR(__xludf.DUMMYFUNCTION("""COMPUTED_VALUE"""),141.92)</f>
        <v>141.91999999999999</v>
      </c>
      <c r="D63" s="22">
        <v>92.38</v>
      </c>
      <c r="E63" s="23">
        <v>337.49</v>
      </c>
      <c r="G63" s="21">
        <f t="shared" ca="1" si="1"/>
        <v>44645.666666666599</v>
      </c>
      <c r="H63" s="19">
        <f t="shared" ref="H63:J63" ca="1" si="61">(C63/C62) - 1</f>
        <v>8.7426256308194006E-3</v>
      </c>
      <c r="I63" s="19">
        <f t="shared" si="61"/>
        <v>2.71355693042441E-3</v>
      </c>
      <c r="J63" s="17">
        <f t="shared" si="61"/>
        <v>3.7474347916603978E-3</v>
      </c>
    </row>
    <row r="64" spans="2:10" ht="15.75" customHeight="1" x14ac:dyDescent="0.25">
      <c r="B64" s="21">
        <f ca="1">IFERROR(__xludf.DUMMYFUNCTION("""COMPUTED_VALUE"""),44648.6666666666)</f>
        <v>44648.666666666599</v>
      </c>
      <c r="C64" s="22">
        <f ca="1">IFERROR(__xludf.DUMMYFUNCTION("""COMPUTED_VALUE"""),140.87)</f>
        <v>140.87</v>
      </c>
      <c r="D64" s="22">
        <v>91.27</v>
      </c>
      <c r="E64" s="23">
        <v>335.3</v>
      </c>
      <c r="G64" s="21">
        <f t="shared" ca="1" si="1"/>
        <v>44648.666666666599</v>
      </c>
      <c r="H64" s="19">
        <f t="shared" ref="H64:J64" ca="1" si="62">(C64/C63) - 1</f>
        <v>-7.3985343855692554E-3</v>
      </c>
      <c r="I64" s="19">
        <f t="shared" si="62"/>
        <v>-1.2015587789564797E-2</v>
      </c>
      <c r="J64" s="17">
        <f t="shared" si="62"/>
        <v>-6.4890811579602081E-3</v>
      </c>
    </row>
    <row r="65" spans="2:10" ht="15.75" customHeight="1" x14ac:dyDescent="0.25">
      <c r="B65" s="21">
        <f ca="1">IFERROR(__xludf.DUMMYFUNCTION("""COMPUTED_VALUE"""),44649.6666666666)</f>
        <v>44649.666666666599</v>
      </c>
      <c r="C65" s="22">
        <f ca="1">IFERROR(__xludf.DUMMYFUNCTION("""COMPUTED_VALUE"""),141.18)</f>
        <v>141.18</v>
      </c>
      <c r="D65" s="22">
        <v>91.84</v>
      </c>
      <c r="E65" s="23">
        <v>339.66</v>
      </c>
      <c r="G65" s="21">
        <f t="shared" ca="1" si="1"/>
        <v>44649.666666666599</v>
      </c>
      <c r="H65" s="19">
        <f t="shared" ref="H65:J65" ca="1" si="63">(C65/C64) - 1</f>
        <v>2.2006104919429781E-3</v>
      </c>
      <c r="I65" s="19">
        <f t="shared" si="63"/>
        <v>6.2452065300757642E-3</v>
      </c>
      <c r="J65" s="17">
        <f t="shared" si="63"/>
        <v>1.3003280644199311E-2</v>
      </c>
    </row>
    <row r="66" spans="2:10" ht="15.75" customHeight="1" x14ac:dyDescent="0.25">
      <c r="B66" s="21">
        <f ca="1">IFERROR(__xludf.DUMMYFUNCTION("""COMPUTED_VALUE"""),44650.6666666666)</f>
        <v>44650.666666666599</v>
      </c>
      <c r="C66" s="22">
        <f ca="1">IFERROR(__xludf.DUMMYFUNCTION("""COMPUTED_VALUE"""),140.54)</f>
        <v>140.54</v>
      </c>
      <c r="D66" s="22">
        <v>90.27</v>
      </c>
      <c r="E66" s="23">
        <v>335.59</v>
      </c>
      <c r="G66" s="21">
        <f t="shared" ca="1" si="1"/>
        <v>44650.666666666599</v>
      </c>
      <c r="H66" s="19">
        <f t="shared" ref="H66:J66" ca="1" si="64">(C66/C65) - 1</f>
        <v>-4.5332200028334046E-3</v>
      </c>
      <c r="I66" s="19">
        <f t="shared" si="64"/>
        <v>-1.7094947735191712E-2</v>
      </c>
      <c r="J66" s="17">
        <f t="shared" si="64"/>
        <v>-1.1982570806100323E-2</v>
      </c>
    </row>
    <row r="67" spans="2:10" ht="15.75" customHeight="1" x14ac:dyDescent="0.25">
      <c r="B67" s="21">
        <f ca="1">IFERROR(__xludf.DUMMYFUNCTION("""COMPUTED_VALUE"""),44651.6666666666)</f>
        <v>44651.666666666599</v>
      </c>
      <c r="C67" s="22">
        <f ca="1">IFERROR(__xludf.DUMMYFUNCTION("""COMPUTED_VALUE"""),136.32)</f>
        <v>136.32</v>
      </c>
      <c r="D67" s="22">
        <v>87.4</v>
      </c>
      <c r="E67" s="23">
        <v>330.1</v>
      </c>
      <c r="G67" s="21">
        <f t="shared" ca="1" si="1"/>
        <v>44651.666666666599</v>
      </c>
      <c r="H67" s="19">
        <f t="shared" ref="H67:J67" ca="1" si="65">(C67/C66) - 1</f>
        <v>-3.0027038565532904E-2</v>
      </c>
      <c r="I67" s="19">
        <f t="shared" si="65"/>
        <v>-3.1793508363797351E-2</v>
      </c>
      <c r="J67" s="17">
        <f t="shared" si="65"/>
        <v>-1.6359247891772566E-2</v>
      </c>
    </row>
    <row r="68" spans="2:10" ht="15.75" customHeight="1" x14ac:dyDescent="0.25">
      <c r="B68" s="21">
        <f ca="1">IFERROR(__xludf.DUMMYFUNCTION("""COMPUTED_VALUE"""),44652.6666666666)</f>
        <v>44652.666666666599</v>
      </c>
      <c r="C68" s="22">
        <f ca="1">IFERROR(__xludf.DUMMYFUNCTION("""COMPUTED_VALUE"""),135.31)</f>
        <v>135.31</v>
      </c>
      <c r="D68" s="22">
        <v>86.99</v>
      </c>
      <c r="E68" s="23">
        <v>330.22</v>
      </c>
      <c r="G68" s="21">
        <f t="shared" ca="1" si="1"/>
        <v>44652.666666666599</v>
      </c>
      <c r="H68" s="19">
        <f t="shared" ref="H68:J68" ca="1" si="66">(C68/C67) - 1</f>
        <v>-7.4090375586853829E-3</v>
      </c>
      <c r="I68" s="19">
        <f t="shared" si="66"/>
        <v>-4.6910755148742433E-3</v>
      </c>
      <c r="J68" s="17">
        <f t="shared" si="66"/>
        <v>3.6352620418056425E-4</v>
      </c>
    </row>
    <row r="69" spans="2:10" ht="15.75" customHeight="1" x14ac:dyDescent="0.25">
      <c r="B69" s="21">
        <f ca="1">IFERROR(__xludf.DUMMYFUNCTION("""COMPUTED_VALUE"""),44655.6666666666)</f>
        <v>44655.666666666599</v>
      </c>
      <c r="C69" s="22">
        <f ca="1">IFERROR(__xludf.DUMMYFUNCTION("""COMPUTED_VALUE"""),135.91)</f>
        <v>135.91</v>
      </c>
      <c r="D69" s="22">
        <v>87.28</v>
      </c>
      <c r="E69" s="23">
        <v>328.21</v>
      </c>
      <c r="G69" s="21">
        <f t="shared" ca="1" si="1"/>
        <v>44655.666666666599</v>
      </c>
      <c r="H69" s="19">
        <f t="shared" ref="H69:J69" ca="1" si="67">(C69/C68) - 1</f>
        <v>4.4342620648880615E-3</v>
      </c>
      <c r="I69" s="19">
        <f t="shared" si="67"/>
        <v>3.3337165191402729E-3</v>
      </c>
      <c r="J69" s="17">
        <f t="shared" si="67"/>
        <v>-6.0868511901158717E-3</v>
      </c>
    </row>
    <row r="70" spans="2:10" ht="15.75" customHeight="1" x14ac:dyDescent="0.25">
      <c r="B70" s="21">
        <f ca="1">IFERROR(__xludf.DUMMYFUNCTION("""COMPUTED_VALUE"""),44656.6666666666)</f>
        <v>44656.666666666599</v>
      </c>
      <c r="C70" s="22">
        <f ca="1">IFERROR(__xludf.DUMMYFUNCTION("""COMPUTED_VALUE"""),133.34)</f>
        <v>133.34</v>
      </c>
      <c r="D70" s="22">
        <v>85.28</v>
      </c>
      <c r="E70" s="23">
        <v>323.95999999999998</v>
      </c>
      <c r="G70" s="21">
        <f t="shared" ca="1" si="1"/>
        <v>44656.666666666599</v>
      </c>
      <c r="H70" s="19">
        <f t="shared" ref="H70:J70" ca="1" si="68">(C70/C69) - 1</f>
        <v>-1.8909572511220607E-2</v>
      </c>
      <c r="I70" s="19">
        <f t="shared" si="68"/>
        <v>-2.2914757103574712E-2</v>
      </c>
      <c r="J70" s="17">
        <f t="shared" si="68"/>
        <v>-1.294902653788732E-2</v>
      </c>
    </row>
    <row r="71" spans="2:10" ht="15.75" customHeight="1" x14ac:dyDescent="0.25">
      <c r="B71" s="21">
        <f ca="1">IFERROR(__xludf.DUMMYFUNCTION("""COMPUTED_VALUE"""),44657.6666666666)</f>
        <v>44657.666666666599</v>
      </c>
      <c r="C71" s="22">
        <f ca="1">IFERROR(__xludf.DUMMYFUNCTION("""COMPUTED_VALUE"""),131.49)</f>
        <v>131.49</v>
      </c>
      <c r="D71" s="22">
        <v>83.13</v>
      </c>
      <c r="E71" s="23">
        <v>316.26</v>
      </c>
      <c r="G71" s="21">
        <f t="shared" ca="1" si="1"/>
        <v>44657.666666666599</v>
      </c>
      <c r="H71" s="19">
        <f t="shared" ref="H71:J71" ca="1" si="69">(C71/C70) - 1</f>
        <v>-1.3874306284685778E-2</v>
      </c>
      <c r="I71" s="19">
        <f t="shared" si="69"/>
        <v>-2.5211069418386578E-2</v>
      </c>
      <c r="J71" s="17">
        <f t="shared" si="69"/>
        <v>-2.3768366464995694E-2</v>
      </c>
    </row>
    <row r="72" spans="2:10" ht="15.75" customHeight="1" x14ac:dyDescent="0.25">
      <c r="B72" s="21">
        <f ca="1">IFERROR(__xludf.DUMMYFUNCTION("""COMPUTED_VALUE"""),44658.6666666666)</f>
        <v>44658.666666666599</v>
      </c>
      <c r="C72" s="22">
        <f ca="1">IFERROR(__xludf.DUMMYFUNCTION("""COMPUTED_VALUE"""),131.09)</f>
        <v>131.09</v>
      </c>
      <c r="D72" s="22">
        <v>83.13</v>
      </c>
      <c r="E72" s="23">
        <v>314.14999999999998</v>
      </c>
      <c r="G72" s="21">
        <f t="shared" ca="1" si="1"/>
        <v>44658.666666666599</v>
      </c>
      <c r="H72" s="19">
        <f t="shared" ref="H72:J72" ca="1" si="70">(C72/C71) - 1</f>
        <v>-3.0420564301467667E-3</v>
      </c>
      <c r="I72" s="19">
        <f t="shared" si="70"/>
        <v>0</v>
      </c>
      <c r="J72" s="17">
        <f t="shared" si="70"/>
        <v>-6.6717257952317865E-3</v>
      </c>
    </row>
    <row r="73" spans="2:10" ht="15.75" customHeight="1" x14ac:dyDescent="0.25">
      <c r="B73" s="21">
        <f ca="1">IFERROR(__xludf.DUMMYFUNCTION("""COMPUTED_VALUE"""),44659.6666666666)</f>
        <v>44659.666666666599</v>
      </c>
      <c r="C73" s="22">
        <f ca="1">IFERROR(__xludf.DUMMYFUNCTION("""COMPUTED_VALUE"""),133.49)</f>
        <v>133.49</v>
      </c>
      <c r="D73" s="22">
        <v>84.06</v>
      </c>
      <c r="E73" s="23">
        <v>321.39</v>
      </c>
      <c r="G73" s="21">
        <f t="shared" ca="1" si="1"/>
        <v>44659.666666666599</v>
      </c>
      <c r="H73" s="19">
        <f t="shared" ref="H73:J73" ca="1" si="71">(C73/C72) - 1</f>
        <v>1.8308032649325012E-2</v>
      </c>
      <c r="I73" s="19">
        <f t="shared" si="71"/>
        <v>1.1187297004691565E-2</v>
      </c>
      <c r="J73" s="17">
        <f t="shared" si="71"/>
        <v>2.3046315454400723E-2</v>
      </c>
    </row>
    <row r="74" spans="2:10" ht="15.75" customHeight="1" x14ac:dyDescent="0.25">
      <c r="B74" s="21">
        <f ca="1">IFERROR(__xludf.DUMMYFUNCTION("""COMPUTED_VALUE"""),44662.6666666666)</f>
        <v>44662.666666666599</v>
      </c>
      <c r="C74" s="22">
        <f ca="1">IFERROR(__xludf.DUMMYFUNCTION("""COMPUTED_VALUE"""),133)</f>
        <v>133</v>
      </c>
      <c r="D74" s="22">
        <v>84.02</v>
      </c>
      <c r="E74" s="23">
        <v>320.76</v>
      </c>
      <c r="G74" s="21">
        <f t="shared" ca="1" si="1"/>
        <v>44662.666666666599</v>
      </c>
      <c r="H74" s="19">
        <f t="shared" ref="H74:J74" ca="1" si="72">(C74/C73) - 1</f>
        <v>-3.6706869428422273E-3</v>
      </c>
      <c r="I74" s="19">
        <f t="shared" si="72"/>
        <v>-4.7585058291699234E-4</v>
      </c>
      <c r="J74" s="17">
        <f t="shared" si="72"/>
        <v>-1.9602352282274138E-3</v>
      </c>
    </row>
    <row r="75" spans="2:10" ht="15.75" customHeight="1" x14ac:dyDescent="0.25">
      <c r="B75" s="21">
        <f ca="1">IFERROR(__xludf.DUMMYFUNCTION("""COMPUTED_VALUE"""),44663.6666666666)</f>
        <v>44663.666666666599</v>
      </c>
      <c r="C75" s="22">
        <f ca="1">IFERROR(__xludf.DUMMYFUNCTION("""COMPUTED_VALUE"""),131.54)</f>
        <v>131.54</v>
      </c>
      <c r="D75" s="22">
        <v>83.93</v>
      </c>
      <c r="E75" s="23">
        <v>319.77999999999997</v>
      </c>
      <c r="G75" s="21">
        <f t="shared" ca="1" si="1"/>
        <v>44663.666666666599</v>
      </c>
      <c r="H75" s="19">
        <f t="shared" ref="H75:J75" ca="1" si="73">(C75/C74) - 1</f>
        <v>-1.0977443609022641E-2</v>
      </c>
      <c r="I75" s="19">
        <f t="shared" si="73"/>
        <v>-1.0711735301117686E-3</v>
      </c>
      <c r="J75" s="17">
        <f t="shared" si="73"/>
        <v>-3.0552437959845413E-3</v>
      </c>
    </row>
    <row r="76" spans="2:10" ht="15.75" customHeight="1" x14ac:dyDescent="0.25">
      <c r="B76" s="21">
        <f ca="1">IFERROR(__xludf.DUMMYFUNCTION("""COMPUTED_VALUE"""),44664.6666666666)</f>
        <v>44664.666666666599</v>
      </c>
      <c r="C76" s="22">
        <f ca="1">IFERROR(__xludf.DUMMYFUNCTION("""COMPUTED_VALUE"""),127.3)</f>
        <v>127.3</v>
      </c>
      <c r="D76" s="22">
        <v>84.13</v>
      </c>
      <c r="E76" s="23">
        <v>321.97000000000003</v>
      </c>
      <c r="G76" s="21">
        <f t="shared" ca="1" si="1"/>
        <v>44664.666666666599</v>
      </c>
      <c r="H76" s="19">
        <f t="shared" ref="H76:J76" ca="1" si="74">(C76/C75) - 1</f>
        <v>-3.2233541128173893E-2</v>
      </c>
      <c r="I76" s="19">
        <f t="shared" si="74"/>
        <v>2.3829381627544777E-3</v>
      </c>
      <c r="J76" s="17">
        <f t="shared" si="74"/>
        <v>6.8484583150918432E-3</v>
      </c>
    </row>
    <row r="77" spans="2:10" ht="15.75" customHeight="1" x14ac:dyDescent="0.25">
      <c r="B77" s="21">
        <f ca="1">IFERROR(__xludf.DUMMYFUNCTION("""COMPUTED_VALUE"""),44665.6666666666)</f>
        <v>44665.666666666599</v>
      </c>
      <c r="C77" s="22">
        <f ca="1">IFERROR(__xludf.DUMMYFUNCTION("""COMPUTED_VALUE"""),126.12)</f>
        <v>126.12</v>
      </c>
      <c r="D77" s="22">
        <v>84.76</v>
      </c>
      <c r="E77" s="23">
        <v>321.64</v>
      </c>
      <c r="G77" s="21">
        <f t="shared" ca="1" si="1"/>
        <v>44665.666666666599</v>
      </c>
      <c r="H77" s="19">
        <f t="shared" ref="H77:J77" ca="1" si="75">(C77/C76) - 1</f>
        <v>-9.2694422623722517E-3</v>
      </c>
      <c r="I77" s="19">
        <f t="shared" si="75"/>
        <v>7.4884107928208099E-3</v>
      </c>
      <c r="J77" s="17">
        <f t="shared" si="75"/>
        <v>-1.0249402118210904E-3</v>
      </c>
    </row>
    <row r="78" spans="2:10" ht="15.75" customHeight="1" x14ac:dyDescent="0.25">
      <c r="B78" s="21">
        <f ca="1">IFERROR(__xludf.DUMMYFUNCTION("""COMPUTED_VALUE"""),44669.6666666666)</f>
        <v>44669.666666666599</v>
      </c>
      <c r="C78" s="22">
        <f ca="1">IFERROR(__xludf.DUMMYFUNCTION("""COMPUTED_VALUE"""),128.46)</f>
        <v>128.46</v>
      </c>
      <c r="D78" s="22">
        <v>86.48</v>
      </c>
      <c r="E78" s="23">
        <v>329.88</v>
      </c>
      <c r="G78" s="21">
        <f t="shared" ca="1" si="1"/>
        <v>44669.666666666599</v>
      </c>
      <c r="H78" s="19">
        <f t="shared" ref="H78:J78" ca="1" si="76">(C78/C77) - 1</f>
        <v>1.8553758325404512E-2</v>
      </c>
      <c r="I78" s="19">
        <f t="shared" si="76"/>
        <v>2.0292590844738001E-2</v>
      </c>
      <c r="J78" s="17">
        <f t="shared" si="76"/>
        <v>2.5618704141276094E-2</v>
      </c>
    </row>
    <row r="79" spans="2:10" ht="15.75" customHeight="1" x14ac:dyDescent="0.25">
      <c r="B79" s="21">
        <f ca="1">IFERROR(__xludf.DUMMYFUNCTION("""COMPUTED_VALUE"""),44670.6666666666)</f>
        <v>44670.666666666599</v>
      </c>
      <c r="C79" s="22">
        <f ca="1">IFERROR(__xludf.DUMMYFUNCTION("""COMPUTED_VALUE"""),131.12)</f>
        <v>131.12</v>
      </c>
      <c r="D79" s="22">
        <v>88.91</v>
      </c>
      <c r="E79" s="23">
        <v>335.95</v>
      </c>
      <c r="G79" s="21">
        <f t="shared" ca="1" si="1"/>
        <v>44670.666666666599</v>
      </c>
      <c r="H79" s="19">
        <f t="shared" ref="H79:J79" ca="1" si="77">(C79/C78) - 1</f>
        <v>2.0706834812392882E-2</v>
      </c>
      <c r="I79" s="19">
        <f t="shared" si="77"/>
        <v>2.8098982423681695E-2</v>
      </c>
      <c r="J79" s="17">
        <f t="shared" si="77"/>
        <v>1.8400630532314777E-2</v>
      </c>
    </row>
    <row r="80" spans="2:10" ht="15.75" customHeight="1" x14ac:dyDescent="0.25">
      <c r="B80" s="21">
        <f ca="1">IFERROR(__xludf.DUMMYFUNCTION("""COMPUTED_VALUE"""),44671.6666666666)</f>
        <v>44671.666666666599</v>
      </c>
      <c r="C80" s="22">
        <f ca="1">IFERROR(__xludf.DUMMYFUNCTION("""COMPUTED_VALUE"""),131.58)</f>
        <v>131.58000000000001</v>
      </c>
      <c r="D80" s="22">
        <v>90.61</v>
      </c>
      <c r="E80" s="23">
        <v>341.06</v>
      </c>
      <c r="G80" s="21">
        <f t="shared" ca="1" si="1"/>
        <v>44671.666666666599</v>
      </c>
      <c r="H80" s="19">
        <f t="shared" ref="H80:J80" ca="1" si="78">(C80/C79) - 1</f>
        <v>3.5082367297132322E-3</v>
      </c>
      <c r="I80" s="19">
        <f t="shared" si="78"/>
        <v>1.9120458891013437E-2</v>
      </c>
      <c r="J80" s="17">
        <f t="shared" si="78"/>
        <v>1.5210596815002253E-2</v>
      </c>
    </row>
    <row r="81" spans="2:10" ht="15.75" customHeight="1" x14ac:dyDescent="0.25">
      <c r="B81" s="21">
        <f ca="1">IFERROR(__xludf.DUMMYFUNCTION("""COMPUTED_VALUE"""),44672.6666666666)</f>
        <v>44672.666666666599</v>
      </c>
      <c r="C81" s="22">
        <f ca="1">IFERROR(__xludf.DUMMYFUNCTION("""COMPUTED_VALUE"""),130.56)</f>
        <v>130.56</v>
      </c>
      <c r="D81" s="22">
        <v>88.91</v>
      </c>
      <c r="E81" s="23">
        <v>334.3</v>
      </c>
      <c r="G81" s="21">
        <f t="shared" ca="1" si="1"/>
        <v>44672.666666666599</v>
      </c>
      <c r="H81" s="19">
        <f t="shared" ref="H81:J81" ca="1" si="79">(C81/C80) - 1</f>
        <v>-7.7519379844962488E-3</v>
      </c>
      <c r="I81" s="19">
        <f t="shared" si="79"/>
        <v>-1.8761726078799335E-2</v>
      </c>
      <c r="J81" s="17">
        <f t="shared" si="79"/>
        <v>-1.9820559432357943E-2</v>
      </c>
    </row>
    <row r="82" spans="2:10" ht="15.75" customHeight="1" x14ac:dyDescent="0.25">
      <c r="B82" s="21">
        <f ca="1">IFERROR(__xludf.DUMMYFUNCTION("""COMPUTED_VALUE"""),44673.6666666666)</f>
        <v>44673.666666666599</v>
      </c>
      <c r="C82" s="22">
        <f ca="1">IFERROR(__xludf.DUMMYFUNCTION("""COMPUTED_VALUE"""),126.81)</f>
        <v>126.81</v>
      </c>
      <c r="D82" s="22">
        <v>84.74</v>
      </c>
      <c r="E82" s="23">
        <v>319.77</v>
      </c>
      <c r="G82" s="21">
        <f t="shared" ca="1" si="1"/>
        <v>44673.666666666599</v>
      </c>
      <c r="H82" s="19">
        <f t="shared" ref="H82:J82" ca="1" si="80">(C82/C81) - 1</f>
        <v>-2.8722426470588203E-2</v>
      </c>
      <c r="I82" s="19">
        <f t="shared" si="80"/>
        <v>-4.6901360926779878E-2</v>
      </c>
      <c r="J82" s="17">
        <f t="shared" si="80"/>
        <v>-4.3463954531857696E-2</v>
      </c>
    </row>
    <row r="83" spans="2:10" ht="15.75" customHeight="1" x14ac:dyDescent="0.25">
      <c r="B83" s="21">
        <f ca="1">IFERROR(__xludf.DUMMYFUNCTION("""COMPUTED_VALUE"""),44676.6666666666)</f>
        <v>44676.666666666599</v>
      </c>
      <c r="C83" s="22">
        <f ca="1">IFERROR(__xludf.DUMMYFUNCTION("""COMPUTED_VALUE"""),126.77)</f>
        <v>126.77</v>
      </c>
      <c r="D83" s="22">
        <v>85.05</v>
      </c>
      <c r="E83" s="23">
        <v>321.42</v>
      </c>
      <c r="G83" s="21">
        <f t="shared" ca="1" si="1"/>
        <v>44676.666666666599</v>
      </c>
      <c r="H83" s="19">
        <f t="shared" ref="H83:J83" ca="1" si="81">(C83/C82) - 1</f>
        <v>-3.1543253686627803E-4</v>
      </c>
      <c r="I83" s="19">
        <f t="shared" si="81"/>
        <v>3.6582487609158054E-3</v>
      </c>
      <c r="J83" s="17">
        <f t="shared" si="81"/>
        <v>5.159958720330371E-3</v>
      </c>
    </row>
    <row r="84" spans="2:10" ht="15.75" customHeight="1" x14ac:dyDescent="0.25">
      <c r="B84" s="21">
        <f ca="1">IFERROR(__xludf.DUMMYFUNCTION("""COMPUTED_VALUE"""),44677.6666666666)</f>
        <v>44677.666666666599</v>
      </c>
      <c r="C84" s="22">
        <f ca="1">IFERROR(__xludf.DUMMYFUNCTION("""COMPUTED_VALUE"""),123.02)</f>
        <v>123.02</v>
      </c>
      <c r="D84" s="22">
        <v>82.37</v>
      </c>
      <c r="E84" s="23">
        <v>313.12</v>
      </c>
      <c r="G84" s="21">
        <f t="shared" ca="1" si="1"/>
        <v>44677.666666666599</v>
      </c>
      <c r="H84" s="19">
        <f t="shared" ref="H84:J84" ca="1" si="82">(C84/C83) - 1</f>
        <v>-2.9581131182456422E-2</v>
      </c>
      <c r="I84" s="19">
        <f t="shared" si="82"/>
        <v>-3.1510875955320317E-2</v>
      </c>
      <c r="J84" s="17">
        <f t="shared" si="82"/>
        <v>-2.5822910833177781E-2</v>
      </c>
    </row>
    <row r="85" spans="2:10" ht="15.75" customHeight="1" x14ac:dyDescent="0.25">
      <c r="B85" s="21">
        <f ca="1">IFERROR(__xludf.DUMMYFUNCTION("""COMPUTED_VALUE"""),44678.6666666666)</f>
        <v>44678.666666666599</v>
      </c>
      <c r="C85" s="22">
        <f ca="1">IFERROR(__xludf.DUMMYFUNCTION("""COMPUTED_VALUE"""),121.42)</f>
        <v>121.42</v>
      </c>
      <c r="D85" s="22">
        <v>82.21</v>
      </c>
      <c r="E85" s="23">
        <v>313.23</v>
      </c>
      <c r="G85" s="21">
        <f t="shared" ca="1" si="1"/>
        <v>44678.666666666599</v>
      </c>
      <c r="H85" s="19">
        <f t="shared" ref="H85:J85" ca="1" si="83">(C85/C84) - 1</f>
        <v>-1.3006015282067906E-2</v>
      </c>
      <c r="I85" s="19">
        <f t="shared" si="83"/>
        <v>-1.9424547772248779E-3</v>
      </c>
      <c r="J85" s="17">
        <f t="shared" si="83"/>
        <v>3.513030148185603E-4</v>
      </c>
    </row>
    <row r="86" spans="2:10" ht="15.75" customHeight="1" x14ac:dyDescent="0.25">
      <c r="B86" s="21">
        <f ca="1">IFERROR(__xludf.DUMMYFUNCTION("""COMPUTED_VALUE"""),44679.6666666666)</f>
        <v>44679.666666666599</v>
      </c>
      <c r="C86" s="22">
        <f ca="1">IFERROR(__xludf.DUMMYFUNCTION("""COMPUTED_VALUE"""),123.34)</f>
        <v>123.34</v>
      </c>
      <c r="D86" s="22">
        <v>83.4</v>
      </c>
      <c r="E86" s="23">
        <v>318.41000000000003</v>
      </c>
      <c r="G86" s="21">
        <f t="shared" ca="1" si="1"/>
        <v>44679.666666666599</v>
      </c>
      <c r="H86" s="19">
        <f t="shared" ref="H86:J86" ca="1" si="84">(C86/C85) - 1</f>
        <v>1.5812880909240601E-2</v>
      </c>
      <c r="I86" s="19">
        <f t="shared" si="84"/>
        <v>1.4475124680696005E-2</v>
      </c>
      <c r="J86" s="17">
        <f t="shared" si="84"/>
        <v>1.6537368706701194E-2</v>
      </c>
    </row>
    <row r="87" spans="2:10" ht="15.75" customHeight="1" x14ac:dyDescent="0.25">
      <c r="B87" s="21">
        <f ca="1">IFERROR(__xludf.DUMMYFUNCTION("""COMPUTED_VALUE"""),44680.6666666666)</f>
        <v>44680.666666666599</v>
      </c>
      <c r="C87" s="22">
        <f ca="1">IFERROR(__xludf.DUMMYFUNCTION("""COMPUTED_VALUE"""),119.36)</f>
        <v>119.36</v>
      </c>
      <c r="D87" s="22">
        <v>80.59</v>
      </c>
      <c r="E87" s="23">
        <v>305.49</v>
      </c>
      <c r="G87" s="21">
        <f t="shared" ca="1" si="1"/>
        <v>44680.666666666599</v>
      </c>
      <c r="H87" s="19">
        <f t="shared" ref="H87:J87" ca="1" si="85">(C87/C86) - 1</f>
        <v>-3.2268526025620248E-2</v>
      </c>
      <c r="I87" s="19">
        <f t="shared" si="85"/>
        <v>-3.369304556354924E-2</v>
      </c>
      <c r="J87" s="17">
        <f t="shared" si="85"/>
        <v>-4.0576615056059806E-2</v>
      </c>
    </row>
    <row r="88" spans="2:10" ht="15.75" customHeight="1" x14ac:dyDescent="0.25">
      <c r="B88" s="21">
        <f ca="1">IFERROR(__xludf.DUMMYFUNCTION("""COMPUTED_VALUE"""),44683.6666666666)</f>
        <v>44683.666666666599</v>
      </c>
      <c r="C88" s="22">
        <f ca="1">IFERROR(__xludf.DUMMYFUNCTION("""COMPUTED_VALUE"""),120.45)</f>
        <v>120.45</v>
      </c>
      <c r="D88" s="22">
        <v>81.96</v>
      </c>
      <c r="E88" s="23">
        <v>310.42</v>
      </c>
      <c r="G88" s="21">
        <f t="shared" ca="1" si="1"/>
        <v>44683.666666666599</v>
      </c>
      <c r="H88" s="19">
        <f t="shared" ref="H88:J88" ca="1" si="86">(C88/C87) - 1</f>
        <v>9.1320375335119941E-3</v>
      </c>
      <c r="I88" s="19">
        <f t="shared" si="86"/>
        <v>1.6999627745377666E-2</v>
      </c>
      <c r="J88" s="17">
        <f t="shared" si="86"/>
        <v>1.6138007790762465E-2</v>
      </c>
    </row>
    <row r="89" spans="2:10" ht="15.75" customHeight="1" x14ac:dyDescent="0.25">
      <c r="B89" s="21">
        <f ca="1">IFERROR(__xludf.DUMMYFUNCTION("""COMPUTED_VALUE"""),44684.6666666666)</f>
        <v>44684.666666666599</v>
      </c>
      <c r="C89" s="22">
        <f ca="1">IFERROR(__xludf.DUMMYFUNCTION("""COMPUTED_VALUE"""),123.03)</f>
        <v>123.03</v>
      </c>
      <c r="D89" s="22">
        <v>83.75</v>
      </c>
      <c r="E89" s="23">
        <v>314.66000000000003</v>
      </c>
      <c r="G89" s="21">
        <f t="shared" ca="1" si="1"/>
        <v>44684.666666666599</v>
      </c>
      <c r="H89" s="19">
        <f t="shared" ref="H89:J89" ca="1" si="87">(C89/C88) - 1</f>
        <v>2.1419676214196715E-2</v>
      </c>
      <c r="I89" s="19">
        <f t="shared" si="87"/>
        <v>2.1839921913128446E-2</v>
      </c>
      <c r="J89" s="17">
        <f t="shared" si="87"/>
        <v>1.365891372978556E-2</v>
      </c>
    </row>
    <row r="90" spans="2:10" ht="15.75" customHeight="1" x14ac:dyDescent="0.25">
      <c r="B90" s="21">
        <f ca="1">IFERROR(__xludf.DUMMYFUNCTION("""COMPUTED_VALUE"""),44685.6666666666)</f>
        <v>44685.666666666599</v>
      </c>
      <c r="C90" s="22">
        <f ca="1">IFERROR(__xludf.DUMMYFUNCTION("""COMPUTED_VALUE"""),127.1)</f>
        <v>127.1</v>
      </c>
      <c r="D90" s="22">
        <v>87.22</v>
      </c>
      <c r="E90" s="23">
        <v>324.11</v>
      </c>
      <c r="G90" s="21">
        <f t="shared" ca="1" si="1"/>
        <v>44685.666666666599</v>
      </c>
      <c r="H90" s="19">
        <f t="shared" ref="H90:J90" ca="1" si="88">(C90/C89) - 1</f>
        <v>3.3081362269365089E-2</v>
      </c>
      <c r="I90" s="19">
        <f t="shared" si="88"/>
        <v>4.1432835820895519E-2</v>
      </c>
      <c r="J90" s="17">
        <f t="shared" si="88"/>
        <v>3.0032415941015689E-2</v>
      </c>
    </row>
    <row r="91" spans="2:10" ht="15.75" customHeight="1" x14ac:dyDescent="0.25">
      <c r="B91" s="21">
        <f ca="1">IFERROR(__xludf.DUMMYFUNCTION("""COMPUTED_VALUE"""),44686.6666666666)</f>
        <v>44686.666666666599</v>
      </c>
      <c r="C91" s="22">
        <f ca="1">IFERROR(__xludf.DUMMYFUNCTION("""COMPUTED_VALUE"""),123.92)</f>
        <v>123.92</v>
      </c>
      <c r="D91" s="22">
        <v>84.94</v>
      </c>
      <c r="E91" s="23">
        <v>313.07</v>
      </c>
      <c r="G91" s="21">
        <f t="shared" ca="1" si="1"/>
        <v>44686.666666666599</v>
      </c>
      <c r="H91" s="19">
        <f t="shared" ref="H91:J91" ca="1" si="89">(C91/C90) - 1</f>
        <v>-2.5019669551534118E-2</v>
      </c>
      <c r="I91" s="19">
        <f t="shared" si="89"/>
        <v>-2.6140793396010054E-2</v>
      </c>
      <c r="J91" s="17">
        <f t="shared" si="89"/>
        <v>-3.4062509641788363E-2</v>
      </c>
    </row>
    <row r="92" spans="2:10" ht="15.75" customHeight="1" x14ac:dyDescent="0.25">
      <c r="B92" s="21">
        <f ca="1">IFERROR(__xludf.DUMMYFUNCTION("""COMPUTED_VALUE"""),44687.6666666666)</f>
        <v>44687.666666666599</v>
      </c>
      <c r="C92" s="22">
        <f ca="1">IFERROR(__xludf.DUMMYFUNCTION("""COMPUTED_VALUE"""),123.72)</f>
        <v>123.72</v>
      </c>
      <c r="D92" s="22">
        <v>84.23</v>
      </c>
      <c r="E92" s="23">
        <v>312.95999999999998</v>
      </c>
      <c r="G92" s="21">
        <f t="shared" ca="1" si="1"/>
        <v>44687.666666666599</v>
      </c>
      <c r="H92" s="19">
        <f t="shared" ref="H92:J92" ca="1" si="90">(C92/C91) - 1</f>
        <v>-1.6139444803099368E-3</v>
      </c>
      <c r="I92" s="19">
        <f t="shared" si="90"/>
        <v>-8.3588415352012779E-3</v>
      </c>
      <c r="J92" s="17">
        <f t="shared" si="90"/>
        <v>-3.5135912096340149E-4</v>
      </c>
    </row>
    <row r="93" spans="2:10" ht="15.75" customHeight="1" x14ac:dyDescent="0.25">
      <c r="B93" s="21">
        <f ca="1">IFERROR(__xludf.DUMMYFUNCTION("""COMPUTED_VALUE"""),44690.6666666666)</f>
        <v>44690.666666666599</v>
      </c>
      <c r="C93" s="22">
        <f ca="1">IFERROR(__xludf.DUMMYFUNCTION("""COMPUTED_VALUE"""),121.86)</f>
        <v>121.86</v>
      </c>
      <c r="D93" s="22">
        <v>81.150000000000006</v>
      </c>
      <c r="E93" s="23">
        <v>308.89</v>
      </c>
      <c r="G93" s="21">
        <f t="shared" ca="1" si="1"/>
        <v>44690.666666666599</v>
      </c>
      <c r="H93" s="19">
        <f t="shared" ref="H93:J93" ca="1" si="91">(C93/C92) - 1</f>
        <v>-1.5033947623666388E-2</v>
      </c>
      <c r="I93" s="19">
        <f t="shared" si="91"/>
        <v>-3.6566543986703004E-2</v>
      </c>
      <c r="J93" s="17">
        <f t="shared" si="91"/>
        <v>-1.3004856850715729E-2</v>
      </c>
    </row>
    <row r="94" spans="2:10" ht="15.75" customHeight="1" x14ac:dyDescent="0.25">
      <c r="B94" s="21">
        <f ca="1">IFERROR(__xludf.DUMMYFUNCTION("""COMPUTED_VALUE"""),44691.6666666666)</f>
        <v>44691.666666666599</v>
      </c>
      <c r="C94" s="22">
        <f ca="1">IFERROR(__xludf.DUMMYFUNCTION("""COMPUTED_VALUE"""),118.89)</f>
        <v>118.89</v>
      </c>
      <c r="D94" s="22">
        <v>80.260000000000005</v>
      </c>
      <c r="E94" s="23">
        <v>305.06</v>
      </c>
      <c r="G94" s="21">
        <f t="shared" ca="1" si="1"/>
        <v>44691.666666666599</v>
      </c>
      <c r="H94" s="19">
        <f t="shared" ref="H94:J94" ca="1" si="92">(C94/C93) - 1</f>
        <v>-2.4372230428360453E-2</v>
      </c>
      <c r="I94" s="19">
        <f t="shared" si="92"/>
        <v>-1.0967344423906344E-2</v>
      </c>
      <c r="J94" s="17">
        <f t="shared" si="92"/>
        <v>-1.2399235973971301E-2</v>
      </c>
    </row>
    <row r="95" spans="2:10" ht="15.75" customHeight="1" x14ac:dyDescent="0.25">
      <c r="B95" s="21">
        <f ca="1">IFERROR(__xludf.DUMMYFUNCTION("""COMPUTED_VALUE"""),44692.6666666666)</f>
        <v>44692.666666666599</v>
      </c>
      <c r="C95" s="22">
        <f ca="1">IFERROR(__xludf.DUMMYFUNCTION("""COMPUTED_VALUE"""),118.14)</f>
        <v>118.14</v>
      </c>
      <c r="D95" s="22">
        <v>78.89</v>
      </c>
      <c r="E95" s="23">
        <v>301.55</v>
      </c>
      <c r="G95" s="21">
        <f t="shared" ca="1" si="1"/>
        <v>44692.666666666599</v>
      </c>
      <c r="H95" s="19">
        <f t="shared" ref="H95:J95" ca="1" si="93">(C95/C94) - 1</f>
        <v>-6.3083522583901042E-3</v>
      </c>
      <c r="I95" s="19">
        <f t="shared" si="93"/>
        <v>-1.7069524046847806E-2</v>
      </c>
      <c r="J95" s="17">
        <f t="shared" si="93"/>
        <v>-1.1505933259030932E-2</v>
      </c>
    </row>
    <row r="96" spans="2:10" ht="15.75" customHeight="1" x14ac:dyDescent="0.25">
      <c r="B96" s="21">
        <f ca="1">IFERROR(__xludf.DUMMYFUNCTION("""COMPUTED_VALUE"""),44693.6666666666)</f>
        <v>44693.666666666599</v>
      </c>
      <c r="C96" s="22">
        <f ca="1">IFERROR(__xludf.DUMMYFUNCTION("""COMPUTED_VALUE"""),118.04)</f>
        <v>118.04</v>
      </c>
      <c r="D96" s="22">
        <v>78.59</v>
      </c>
      <c r="E96" s="23">
        <v>299.41000000000003</v>
      </c>
      <c r="G96" s="21">
        <f t="shared" ca="1" si="1"/>
        <v>44693.666666666599</v>
      </c>
      <c r="H96" s="19">
        <f t="shared" ref="H96:J96" ca="1" si="94">(C96/C95) - 1</f>
        <v>-8.4645336041977437E-4</v>
      </c>
      <c r="I96" s="19">
        <f t="shared" si="94"/>
        <v>-3.8027633413613149E-3</v>
      </c>
      <c r="J96" s="17">
        <f t="shared" si="94"/>
        <v>-7.0966672193665259E-3</v>
      </c>
    </row>
    <row r="97" spans="2:10" ht="15.75" customHeight="1" x14ac:dyDescent="0.25">
      <c r="B97" s="21">
        <f ca="1">IFERROR(__xludf.DUMMYFUNCTION("""COMPUTED_VALUE"""),44694.6666666666)</f>
        <v>44694.666666666599</v>
      </c>
      <c r="C97" s="22">
        <f ca="1">IFERROR(__xludf.DUMMYFUNCTION("""COMPUTED_VALUE"""),119.09)</f>
        <v>119.09</v>
      </c>
      <c r="D97" s="22">
        <v>80.540000000000006</v>
      </c>
      <c r="E97" s="23">
        <v>306.99</v>
      </c>
      <c r="G97" s="21">
        <f t="shared" ca="1" si="1"/>
        <v>44694.666666666599</v>
      </c>
      <c r="H97" s="19">
        <f t="shared" ref="H97:J97" ca="1" si="95">(C97/C96) - 1</f>
        <v>8.8952897322940316E-3</v>
      </c>
      <c r="I97" s="19">
        <f t="shared" si="95"/>
        <v>2.4812317088688252E-2</v>
      </c>
      <c r="J97" s="17">
        <f t="shared" si="95"/>
        <v>2.5316455696202445E-2</v>
      </c>
    </row>
    <row r="98" spans="2:10" ht="15.75" customHeight="1" x14ac:dyDescent="0.25">
      <c r="B98" s="21">
        <f ca="1">IFERROR(__xludf.DUMMYFUNCTION("""COMPUTED_VALUE"""),44697.6666666666)</f>
        <v>44697.666666666599</v>
      </c>
      <c r="C98" s="22">
        <f ca="1">IFERROR(__xludf.DUMMYFUNCTION("""COMPUTED_VALUE"""),118.26)</f>
        <v>118.26</v>
      </c>
      <c r="D98" s="22">
        <v>79.900000000000006</v>
      </c>
      <c r="E98" s="23">
        <v>303.44</v>
      </c>
      <c r="G98" s="21">
        <f t="shared" ca="1" si="1"/>
        <v>44697.666666666599</v>
      </c>
      <c r="H98" s="19">
        <f t="shared" ref="H98:J98" ca="1" si="96">(C98/C97) - 1</f>
        <v>-6.9695188512889361E-3</v>
      </c>
      <c r="I98" s="19">
        <f t="shared" si="96"/>
        <v>-7.9463620561212034E-3</v>
      </c>
      <c r="J98" s="17">
        <f t="shared" si="96"/>
        <v>-1.1563894589400325E-2</v>
      </c>
    </row>
    <row r="99" spans="2:10" ht="15.75" customHeight="1" x14ac:dyDescent="0.25">
      <c r="B99" s="21">
        <f ca="1">IFERROR(__xludf.DUMMYFUNCTION("""COMPUTED_VALUE"""),44698.6666666666)</f>
        <v>44698.666666666599</v>
      </c>
      <c r="C99" s="22">
        <f ca="1">IFERROR(__xludf.DUMMYFUNCTION("""COMPUTED_VALUE"""),122.18)</f>
        <v>122.18</v>
      </c>
      <c r="D99" s="22">
        <v>82.93</v>
      </c>
      <c r="E99" s="23">
        <v>312.97000000000003</v>
      </c>
      <c r="G99" s="21">
        <f t="shared" ca="1" si="1"/>
        <v>44698.666666666599</v>
      </c>
      <c r="H99" s="19">
        <f t="shared" ref="H99:J99" ca="1" si="97">(C99/C98) - 1</f>
        <v>3.3147302553695246E-2</v>
      </c>
      <c r="I99" s="19">
        <f t="shared" si="97"/>
        <v>3.7922403003754601E-2</v>
      </c>
      <c r="J99" s="17">
        <f t="shared" si="97"/>
        <v>3.1406538360137182E-2</v>
      </c>
    </row>
    <row r="100" spans="2:10" ht="15.75" customHeight="1" x14ac:dyDescent="0.25">
      <c r="B100" s="21">
        <f ca="1">IFERROR(__xludf.DUMMYFUNCTION("""COMPUTED_VALUE"""),44699.6666666666)</f>
        <v>44699.666666666599</v>
      </c>
      <c r="C100" s="22">
        <f ca="1">IFERROR(__xludf.DUMMYFUNCTION("""COMPUTED_VALUE"""),120.09)</f>
        <v>120.09</v>
      </c>
      <c r="D100" s="22">
        <v>80.69</v>
      </c>
      <c r="E100" s="23">
        <v>306.73</v>
      </c>
      <c r="G100" s="21">
        <f t="shared" ca="1" si="1"/>
        <v>44699.666666666599</v>
      </c>
      <c r="H100" s="19">
        <f t="shared" ref="H100:J100" ca="1" si="98">(C100/C99) - 1</f>
        <v>-1.7105909314126699E-2</v>
      </c>
      <c r="I100" s="19">
        <f t="shared" si="98"/>
        <v>-2.7010731942602284E-2</v>
      </c>
      <c r="J100" s="17">
        <f t="shared" si="98"/>
        <v>-1.9938013228104956E-2</v>
      </c>
    </row>
    <row r="101" spans="2:10" ht="15.75" customHeight="1" x14ac:dyDescent="0.25">
      <c r="B101" s="21">
        <f ca="1">IFERROR(__xludf.DUMMYFUNCTION("""COMPUTED_VALUE"""),44700.6666666666)</f>
        <v>44700.666666666599</v>
      </c>
      <c r="C101" s="22">
        <f ca="1">IFERROR(__xludf.DUMMYFUNCTION("""COMPUTED_VALUE"""),118.31)</f>
        <v>118.31</v>
      </c>
      <c r="D101" s="22">
        <v>79.959999999999994</v>
      </c>
      <c r="E101" s="23">
        <v>308.2</v>
      </c>
      <c r="G101" s="21">
        <f t="shared" ca="1" si="1"/>
        <v>44700.666666666599</v>
      </c>
      <c r="H101" s="19">
        <f t="shared" ref="H101:J101" ca="1" si="99">(C101/C100) - 1</f>
        <v>-1.4822216670830168E-2</v>
      </c>
      <c r="I101" s="19">
        <f t="shared" si="99"/>
        <v>-9.0469698847441826E-3</v>
      </c>
      <c r="J101" s="17">
        <f t="shared" si="99"/>
        <v>4.7924885078081125E-3</v>
      </c>
    </row>
    <row r="102" spans="2:10" ht="15.75" customHeight="1" x14ac:dyDescent="0.25">
      <c r="B102" s="21">
        <f ca="1">IFERROR(__xludf.DUMMYFUNCTION("""COMPUTED_VALUE"""),44701.6666666666)</f>
        <v>44701.666666666599</v>
      </c>
      <c r="C102" s="22">
        <f ca="1">IFERROR(__xludf.DUMMYFUNCTION("""COMPUTED_VALUE"""),117.34)</f>
        <v>117.34</v>
      </c>
      <c r="D102" s="22">
        <v>79.37</v>
      </c>
      <c r="E102" s="23">
        <v>306.8</v>
      </c>
      <c r="G102" s="21">
        <f t="shared" ca="1" si="1"/>
        <v>44701.666666666599</v>
      </c>
      <c r="H102" s="19">
        <f t="shared" ref="H102:J102" ca="1" si="100">(C102/C101) - 1</f>
        <v>-8.1987997633335974E-3</v>
      </c>
      <c r="I102" s="19">
        <f t="shared" si="100"/>
        <v>-7.378689344672229E-3</v>
      </c>
      <c r="J102" s="17">
        <f t="shared" si="100"/>
        <v>-4.5425048669693879E-3</v>
      </c>
    </row>
    <row r="103" spans="2:10" ht="15.75" customHeight="1" x14ac:dyDescent="0.25">
      <c r="B103" s="21">
        <f ca="1">IFERROR(__xludf.DUMMYFUNCTION("""COMPUTED_VALUE"""),44704.6666666666)</f>
        <v>44704.666666666599</v>
      </c>
      <c r="C103" s="22">
        <f ca="1">IFERROR(__xludf.DUMMYFUNCTION("""COMPUTED_VALUE"""),124.6)</f>
        <v>124.6</v>
      </c>
      <c r="D103" s="22">
        <v>82.31</v>
      </c>
      <c r="E103" s="23">
        <v>316.61</v>
      </c>
      <c r="G103" s="21">
        <f t="shared" ca="1" si="1"/>
        <v>44704.666666666599</v>
      </c>
      <c r="H103" s="19">
        <f t="shared" ref="H103:J103" ca="1" si="101">(C103/C102) - 1</f>
        <v>6.1871484574739899E-2</v>
      </c>
      <c r="I103" s="19">
        <f t="shared" si="101"/>
        <v>3.7041703414388172E-2</v>
      </c>
      <c r="J103" s="17">
        <f t="shared" si="101"/>
        <v>3.1975228161668756E-2</v>
      </c>
    </row>
    <row r="104" spans="2:10" ht="15.75" customHeight="1" x14ac:dyDescent="0.25">
      <c r="B104" s="21">
        <f ca="1">IFERROR(__xludf.DUMMYFUNCTION("""COMPUTED_VALUE"""),44705.6666666666)</f>
        <v>44705.666666666599</v>
      </c>
      <c r="C104" s="22">
        <f ca="1">IFERROR(__xludf.DUMMYFUNCTION("""COMPUTED_VALUE"""),126.36)</f>
        <v>126.36</v>
      </c>
      <c r="D104" s="22">
        <v>81.96</v>
      </c>
      <c r="E104" s="23">
        <v>313.95</v>
      </c>
      <c r="G104" s="21">
        <f t="shared" ca="1" si="1"/>
        <v>44705.666666666599</v>
      </c>
      <c r="H104" s="19">
        <f t="shared" ref="H104:J104" ca="1" si="102">(C104/C103) - 1</f>
        <v>1.4125200642054692E-2</v>
      </c>
      <c r="I104" s="19">
        <f t="shared" si="102"/>
        <v>-4.2522172275544223E-3</v>
      </c>
      <c r="J104" s="17">
        <f t="shared" si="102"/>
        <v>-8.4015034269291355E-3</v>
      </c>
    </row>
    <row r="105" spans="2:10" ht="15.75" customHeight="1" x14ac:dyDescent="0.25">
      <c r="B105" s="21">
        <f ca="1">IFERROR(__xludf.DUMMYFUNCTION("""COMPUTED_VALUE"""),44706.6666666666)</f>
        <v>44706.666666666599</v>
      </c>
      <c r="C105" s="22">
        <f ca="1">IFERROR(__xludf.DUMMYFUNCTION("""COMPUTED_VALUE"""),127.24)</f>
        <v>127.24</v>
      </c>
      <c r="D105" s="22">
        <v>82.23</v>
      </c>
      <c r="E105" s="23">
        <v>314.89999999999998</v>
      </c>
      <c r="G105" s="21">
        <f t="shared" ca="1" si="1"/>
        <v>44706.666666666599</v>
      </c>
      <c r="H105" s="19">
        <f t="shared" ref="H105:J105" ca="1" si="103">(C105/C104) - 1</f>
        <v>6.9642291864513428E-3</v>
      </c>
      <c r="I105" s="19">
        <f t="shared" si="103"/>
        <v>3.2942898975110158E-3</v>
      </c>
      <c r="J105" s="17">
        <f t="shared" si="103"/>
        <v>3.0259595476986867E-3</v>
      </c>
    </row>
    <row r="106" spans="2:10" ht="15.75" customHeight="1" x14ac:dyDescent="0.25">
      <c r="B106" s="21">
        <f ca="1">IFERROR(__xludf.DUMMYFUNCTION("""COMPUTED_VALUE"""),44707.6666666666)</f>
        <v>44707.666666666599</v>
      </c>
      <c r="C106" s="22">
        <f ca="1">IFERROR(__xludf.DUMMYFUNCTION("""COMPUTED_VALUE"""),129.44)</f>
        <v>129.44</v>
      </c>
      <c r="D106" s="22">
        <v>85</v>
      </c>
      <c r="E106" s="23">
        <v>323.63</v>
      </c>
      <c r="G106" s="21">
        <f t="shared" ca="1" si="1"/>
        <v>44707.666666666599</v>
      </c>
      <c r="H106" s="19">
        <f t="shared" ref="H106:J106" ca="1" si="104">(C106/C105) - 1</f>
        <v>1.7290160326941306E-2</v>
      </c>
      <c r="I106" s="19">
        <f t="shared" si="104"/>
        <v>3.3686002675422655E-2</v>
      </c>
      <c r="J106" s="17">
        <f t="shared" si="104"/>
        <v>2.7723086694188659E-2</v>
      </c>
    </row>
    <row r="107" spans="2:10" ht="15.75" customHeight="1" x14ac:dyDescent="0.25">
      <c r="B107" s="21">
        <f ca="1">IFERROR(__xludf.DUMMYFUNCTION("""COMPUTED_VALUE"""),44708.6666666666)</f>
        <v>44708.666666666599</v>
      </c>
      <c r="C107" s="22">
        <f ca="1">IFERROR(__xludf.DUMMYFUNCTION("""COMPUTED_VALUE"""),131.27)</f>
        <v>131.27000000000001</v>
      </c>
      <c r="D107" s="22">
        <v>86.45</v>
      </c>
      <c r="E107" s="23">
        <v>328.58</v>
      </c>
      <c r="G107" s="21">
        <f t="shared" ca="1" si="1"/>
        <v>44708.666666666599</v>
      </c>
      <c r="H107" s="19">
        <f t="shared" ref="H107:J107" ca="1" si="105">(C107/C106) - 1</f>
        <v>1.4137824474660166E-2</v>
      </c>
      <c r="I107" s="19">
        <f t="shared" si="105"/>
        <v>1.7058823529411793E-2</v>
      </c>
      <c r="J107" s="17">
        <f t="shared" si="105"/>
        <v>1.5295244569415667E-2</v>
      </c>
    </row>
    <row r="108" spans="2:10" ht="15.75" customHeight="1" x14ac:dyDescent="0.25">
      <c r="B108" s="21">
        <f ca="1">IFERROR(__xludf.DUMMYFUNCTION("""COMPUTED_VALUE"""),44712.6666666666)</f>
        <v>44712.666666666599</v>
      </c>
      <c r="C108" s="22">
        <f ca="1">IFERROR(__xludf.DUMMYFUNCTION("""COMPUTED_VALUE"""),132.23)</f>
        <v>132.22999999999999</v>
      </c>
      <c r="D108" s="22">
        <v>86.14</v>
      </c>
      <c r="E108" s="23">
        <v>326.85000000000002</v>
      </c>
      <c r="G108" s="21">
        <f t="shared" ca="1" si="1"/>
        <v>44712.666666666599</v>
      </c>
      <c r="H108" s="19">
        <f t="shared" ref="H108:J108" ca="1" si="106">(C108/C107) - 1</f>
        <v>7.3131713262739595E-3</v>
      </c>
      <c r="I108" s="19">
        <f t="shared" si="106"/>
        <v>-3.5858877964141112E-3</v>
      </c>
      <c r="J108" s="17">
        <f t="shared" si="106"/>
        <v>-5.2650800413901466E-3</v>
      </c>
    </row>
    <row r="109" spans="2:10" ht="15.75" customHeight="1" x14ac:dyDescent="0.25">
      <c r="B109" s="21">
        <f ca="1">IFERROR(__xludf.DUMMYFUNCTION("""COMPUTED_VALUE"""),44713.6666666666)</f>
        <v>44713.666666666599</v>
      </c>
      <c r="C109" s="22">
        <f ca="1">IFERROR(__xludf.DUMMYFUNCTION("""COMPUTED_VALUE"""),129.91)</f>
        <v>129.91</v>
      </c>
      <c r="D109" s="22">
        <v>85</v>
      </c>
      <c r="E109" s="23">
        <v>321.85000000000002</v>
      </c>
      <c r="G109" s="21">
        <f t="shared" ca="1" si="1"/>
        <v>44713.666666666599</v>
      </c>
      <c r="H109" s="19">
        <f t="shared" ref="H109:J109" ca="1" si="107">(C109/C108) - 1</f>
        <v>-1.7545186417605607E-2</v>
      </c>
      <c r="I109" s="19">
        <f t="shared" si="107"/>
        <v>-1.3234269793359621E-2</v>
      </c>
      <c r="J109" s="17">
        <f t="shared" si="107"/>
        <v>-1.529753709652748E-2</v>
      </c>
    </row>
    <row r="110" spans="2:10" ht="15.75" customHeight="1" x14ac:dyDescent="0.25">
      <c r="B110" s="21">
        <f ca="1">IFERROR(__xludf.DUMMYFUNCTION("""COMPUTED_VALUE"""),44714.6666666666)</f>
        <v>44714.666666666599</v>
      </c>
      <c r="C110" s="22">
        <f ca="1">IFERROR(__xludf.DUMMYFUNCTION("""COMPUTED_VALUE"""),132)</f>
        <v>132</v>
      </c>
      <c r="D110" s="22">
        <v>85.2</v>
      </c>
      <c r="E110" s="23">
        <v>324.25</v>
      </c>
      <c r="G110" s="21">
        <f t="shared" ca="1" si="1"/>
        <v>44714.666666666599</v>
      </c>
      <c r="H110" s="19">
        <f t="shared" ref="H110:J110" ca="1" si="108">(C110/C109) - 1</f>
        <v>1.608806096528359E-2</v>
      </c>
      <c r="I110" s="19">
        <f t="shared" si="108"/>
        <v>2.3529411764706687E-3</v>
      </c>
      <c r="J110" s="17">
        <f t="shared" si="108"/>
        <v>7.4568898555227303E-3</v>
      </c>
    </row>
    <row r="111" spans="2:10" ht="15.75" customHeight="1" x14ac:dyDescent="0.25">
      <c r="B111" s="21">
        <f ca="1">IFERROR(__xludf.DUMMYFUNCTION("""COMPUTED_VALUE"""),44715.6666666666)</f>
        <v>44715.666666666599</v>
      </c>
      <c r="C111" s="22">
        <f ca="1">IFERROR(__xludf.DUMMYFUNCTION("""COMPUTED_VALUE"""),130.16)</f>
        <v>130.16</v>
      </c>
      <c r="D111" s="22">
        <v>84.12</v>
      </c>
      <c r="E111" s="23">
        <v>318.68</v>
      </c>
      <c r="G111" s="21">
        <f t="shared" ca="1" si="1"/>
        <v>44715.666666666599</v>
      </c>
      <c r="H111" s="19">
        <f t="shared" ref="H111:J111" ca="1" si="109">(C111/C110) - 1</f>
        <v>-1.3939393939393918E-2</v>
      </c>
      <c r="I111" s="19">
        <f t="shared" si="109"/>
        <v>-1.2676056338028152E-2</v>
      </c>
      <c r="J111" s="17">
        <f t="shared" si="109"/>
        <v>-1.7178103315343085E-2</v>
      </c>
    </row>
    <row r="112" spans="2:10" ht="15.75" customHeight="1" x14ac:dyDescent="0.25">
      <c r="B112" s="21">
        <f ca="1">IFERROR(__xludf.DUMMYFUNCTION("""COMPUTED_VALUE"""),44718.6666666666)</f>
        <v>44718.666666666599</v>
      </c>
      <c r="C112" s="22">
        <f ca="1">IFERROR(__xludf.DUMMYFUNCTION("""COMPUTED_VALUE"""),129.73)</f>
        <v>129.72999999999999</v>
      </c>
      <c r="D112" s="22">
        <v>84.87</v>
      </c>
      <c r="E112" s="23">
        <v>320.51</v>
      </c>
      <c r="G112" s="21">
        <f t="shared" ca="1" si="1"/>
        <v>44718.666666666599</v>
      </c>
      <c r="H112" s="19">
        <f t="shared" ref="H112:J112" ca="1" si="110">(C112/C111) - 1</f>
        <v>-3.3036263060848281E-3</v>
      </c>
      <c r="I112" s="19">
        <f t="shared" si="110"/>
        <v>8.915834522111199E-3</v>
      </c>
      <c r="J112" s="17">
        <f t="shared" si="110"/>
        <v>5.7424375549139928E-3</v>
      </c>
    </row>
    <row r="113" spans="2:10" ht="15.75" customHeight="1" x14ac:dyDescent="0.25">
      <c r="B113" s="21">
        <f ca="1">IFERROR(__xludf.DUMMYFUNCTION("""COMPUTED_VALUE"""),44719.6666666666)</f>
        <v>44719.666666666599</v>
      </c>
      <c r="C113" s="22">
        <f ca="1">IFERROR(__xludf.DUMMYFUNCTION("""COMPUTED_VALUE"""),130.07)</f>
        <v>130.07</v>
      </c>
      <c r="D113" s="22">
        <v>85.33</v>
      </c>
      <c r="E113" s="23">
        <v>321.51</v>
      </c>
      <c r="G113" s="21">
        <f t="shared" ca="1" si="1"/>
        <v>44719.666666666599</v>
      </c>
      <c r="H113" s="19">
        <f t="shared" ref="H113:J113" ca="1" si="111">(C113/C112) - 1</f>
        <v>2.6208278732753332E-3</v>
      </c>
      <c r="I113" s="19">
        <f t="shared" si="111"/>
        <v>5.4200542005420349E-3</v>
      </c>
      <c r="J113" s="17">
        <f t="shared" si="111"/>
        <v>3.1200274562415142E-3</v>
      </c>
    </row>
    <row r="114" spans="2:10" ht="15.75" customHeight="1" x14ac:dyDescent="0.25">
      <c r="B114" s="21">
        <f ca="1">IFERROR(__xludf.DUMMYFUNCTION("""COMPUTED_VALUE"""),44720.6666666666)</f>
        <v>44720.666666666599</v>
      </c>
      <c r="C114" s="22">
        <f ca="1">IFERROR(__xludf.DUMMYFUNCTION("""COMPUTED_VALUE"""),128)</f>
        <v>128</v>
      </c>
      <c r="D114" s="22">
        <v>83.2</v>
      </c>
      <c r="E114" s="23">
        <v>314.68</v>
      </c>
      <c r="G114" s="21">
        <f t="shared" ca="1" si="1"/>
        <v>44720.666666666599</v>
      </c>
      <c r="H114" s="19">
        <f t="shared" ref="H114:J114" ca="1" si="112">(C114/C113) - 1</f>
        <v>-1.5914507572845293E-2</v>
      </c>
      <c r="I114" s="19">
        <f t="shared" si="112"/>
        <v>-2.4961912574709921E-2</v>
      </c>
      <c r="J114" s="17">
        <f t="shared" si="112"/>
        <v>-2.1243507200398026E-2</v>
      </c>
    </row>
    <row r="115" spans="2:10" ht="15.75" customHeight="1" x14ac:dyDescent="0.25">
      <c r="B115" s="21">
        <f ca="1">IFERROR(__xludf.DUMMYFUNCTION("""COMPUTED_VALUE"""),44721.6666666666)</f>
        <v>44721.666666666599</v>
      </c>
      <c r="C115" s="22">
        <f ca="1">IFERROR(__xludf.DUMMYFUNCTION("""COMPUTED_VALUE"""),125.31)</f>
        <v>125.31</v>
      </c>
      <c r="D115" s="22">
        <v>81.16</v>
      </c>
      <c r="E115" s="23">
        <v>304.22000000000003</v>
      </c>
      <c r="G115" s="21">
        <f t="shared" ca="1" si="1"/>
        <v>44721.666666666599</v>
      </c>
      <c r="H115" s="19">
        <f t="shared" ref="H115:J115" ca="1" si="113">(C115/C114) - 1</f>
        <v>-2.1015624999999982E-2</v>
      </c>
      <c r="I115" s="19">
        <f t="shared" si="113"/>
        <v>-2.4519230769230793E-2</v>
      </c>
      <c r="J115" s="17">
        <f t="shared" si="113"/>
        <v>-3.3240116944197262E-2</v>
      </c>
    </row>
    <row r="116" spans="2:10" ht="15.75" customHeight="1" x14ac:dyDescent="0.25">
      <c r="B116" s="21">
        <f ca="1">IFERROR(__xludf.DUMMYFUNCTION("""COMPUTED_VALUE"""),44722.6666666666)</f>
        <v>44722.666666666599</v>
      </c>
      <c r="C116" s="22">
        <f ca="1">IFERROR(__xludf.DUMMYFUNCTION("""COMPUTED_VALUE"""),119.55)</f>
        <v>119.55</v>
      </c>
      <c r="D116" s="22">
        <v>77.400000000000006</v>
      </c>
      <c r="E116" s="23">
        <v>287.02</v>
      </c>
      <c r="G116" s="21">
        <f t="shared" ca="1" si="1"/>
        <v>44722.666666666599</v>
      </c>
      <c r="H116" s="19">
        <f t="shared" ref="H116:J116" ca="1" si="114">(C116/C115) - 1</f>
        <v>-4.5966004309312969E-2</v>
      </c>
      <c r="I116" s="19">
        <f t="shared" si="114"/>
        <v>-4.6328240512567676E-2</v>
      </c>
      <c r="J116" s="17">
        <f t="shared" si="114"/>
        <v>-5.6538031687594636E-2</v>
      </c>
    </row>
    <row r="117" spans="2:10" ht="15.75" customHeight="1" x14ac:dyDescent="0.25">
      <c r="B117" s="21">
        <f ca="1">IFERROR(__xludf.DUMMYFUNCTION("""COMPUTED_VALUE"""),44725.6666666666)</f>
        <v>44725.666666666599</v>
      </c>
      <c r="C117" s="22">
        <f ca="1">IFERROR(__xludf.DUMMYFUNCTION("""COMPUTED_VALUE"""),115.99)</f>
        <v>115.99</v>
      </c>
      <c r="D117" s="22">
        <v>75.180000000000007</v>
      </c>
      <c r="E117" s="23">
        <v>283.32</v>
      </c>
      <c r="G117" s="21">
        <f t="shared" ca="1" si="1"/>
        <v>44725.666666666599</v>
      </c>
      <c r="H117" s="19">
        <f t="shared" ref="H117:J117" ca="1" si="115">(C117/C116) - 1</f>
        <v>-2.9778335424508584E-2</v>
      </c>
      <c r="I117" s="19">
        <f t="shared" si="115"/>
        <v>-2.8682170542635665E-2</v>
      </c>
      <c r="J117" s="17">
        <f t="shared" si="115"/>
        <v>-1.2891087729078099E-2</v>
      </c>
    </row>
    <row r="118" spans="2:10" ht="15.75" customHeight="1" x14ac:dyDescent="0.25">
      <c r="B118" s="21">
        <f ca="1">IFERROR(__xludf.DUMMYFUNCTION("""COMPUTED_VALUE"""),44726.6666666666)</f>
        <v>44726.666666666599</v>
      </c>
      <c r="C118" s="22">
        <f ca="1">IFERROR(__xludf.DUMMYFUNCTION("""COMPUTED_VALUE"""),114.06)</f>
        <v>114.06</v>
      </c>
      <c r="D118" s="22">
        <v>74.959999999999994</v>
      </c>
      <c r="E118" s="23">
        <v>282.54000000000002</v>
      </c>
      <c r="G118" s="21">
        <f t="shared" ca="1" si="1"/>
        <v>44726.666666666599</v>
      </c>
      <c r="H118" s="19">
        <f t="shared" ref="H118:J118" ca="1" si="116">(C118/C117) - 1</f>
        <v>-1.6639365462539857E-2</v>
      </c>
      <c r="I118" s="19">
        <f t="shared" si="116"/>
        <v>-2.9263101888802323E-3</v>
      </c>
      <c r="J118" s="17">
        <f t="shared" si="116"/>
        <v>-2.753070732740226E-3</v>
      </c>
    </row>
    <row r="119" spans="2:10" ht="15.75" customHeight="1" x14ac:dyDescent="0.25">
      <c r="B119" s="21">
        <f ca="1">IFERROR(__xludf.DUMMYFUNCTION("""COMPUTED_VALUE"""),44727.6666666666)</f>
        <v>44727.666666666599</v>
      </c>
      <c r="C119" s="22">
        <f ca="1">IFERROR(__xludf.DUMMYFUNCTION("""COMPUTED_VALUE"""),115.41)</f>
        <v>115.41</v>
      </c>
      <c r="D119" s="22">
        <v>76.02</v>
      </c>
      <c r="E119" s="23">
        <v>290.07</v>
      </c>
      <c r="G119" s="21">
        <f t="shared" ca="1" si="1"/>
        <v>44727.666666666599</v>
      </c>
      <c r="H119" s="19">
        <f t="shared" ref="H119:J119" ca="1" si="117">(C119/C118) - 1</f>
        <v>1.183587585481316E-2</v>
      </c>
      <c r="I119" s="19">
        <f t="shared" si="117"/>
        <v>1.4140875133404451E-2</v>
      </c>
      <c r="J119" s="17">
        <f t="shared" si="117"/>
        <v>2.6651093650456481E-2</v>
      </c>
    </row>
    <row r="120" spans="2:10" ht="15.75" customHeight="1" x14ac:dyDescent="0.25">
      <c r="B120" s="21">
        <f ca="1">IFERROR(__xludf.DUMMYFUNCTION("""COMPUTED_VALUE"""),44728.6666666666)</f>
        <v>44728.666666666599</v>
      </c>
      <c r="C120" s="22">
        <f ca="1">IFERROR(__xludf.DUMMYFUNCTION("""COMPUTED_VALUE"""),113.43)</f>
        <v>113.43</v>
      </c>
      <c r="D120" s="22">
        <v>73.95</v>
      </c>
      <c r="E120" s="23">
        <v>284.98</v>
      </c>
      <c r="G120" s="21">
        <f t="shared" ca="1" si="1"/>
        <v>44728.666666666599</v>
      </c>
      <c r="H120" s="19">
        <f t="shared" ref="H120:J120" ca="1" si="118">(C120/C119) - 1</f>
        <v>-1.7156225630361233E-2</v>
      </c>
      <c r="I120" s="19">
        <f t="shared" si="118"/>
        <v>-2.7229676400946978E-2</v>
      </c>
      <c r="J120" s="17">
        <f t="shared" si="118"/>
        <v>-1.7547488537249523E-2</v>
      </c>
    </row>
    <row r="121" spans="2:10" ht="15.75" customHeight="1" x14ac:dyDescent="0.25">
      <c r="B121" s="21">
        <f ca="1">IFERROR(__xludf.DUMMYFUNCTION("""COMPUTED_VALUE"""),44729.6666666666)</f>
        <v>44729.666666666599</v>
      </c>
      <c r="C121" s="22">
        <f ca="1">IFERROR(__xludf.DUMMYFUNCTION("""COMPUTED_VALUE"""),113.03)</f>
        <v>113.03</v>
      </c>
      <c r="D121" s="22">
        <v>72.900000000000006</v>
      </c>
      <c r="E121" s="23">
        <v>279.79000000000002</v>
      </c>
      <c r="G121" s="21">
        <f t="shared" ca="1" si="1"/>
        <v>44729.666666666599</v>
      </c>
      <c r="H121" s="19">
        <f t="shared" ref="H121:J121" ca="1" si="119">(C121/C120) - 1</f>
        <v>-3.5264039495724875E-3</v>
      </c>
      <c r="I121" s="19">
        <f t="shared" si="119"/>
        <v>-1.4198782961460377E-2</v>
      </c>
      <c r="J121" s="17">
        <f t="shared" si="119"/>
        <v>-1.821180433714642E-2</v>
      </c>
    </row>
    <row r="122" spans="2:10" ht="15.75" customHeight="1" x14ac:dyDescent="0.25">
      <c r="B122" s="21">
        <f ca="1">IFERROR(__xludf.DUMMYFUNCTION("""COMPUTED_VALUE"""),44733.6666666666)</f>
        <v>44733.666666666599</v>
      </c>
      <c r="C122" s="22">
        <f ca="1">IFERROR(__xludf.DUMMYFUNCTION("""COMPUTED_VALUE"""),115.83)</f>
        <v>115.83</v>
      </c>
      <c r="D122" s="22">
        <v>74.63</v>
      </c>
      <c r="E122" s="23">
        <v>284.81</v>
      </c>
      <c r="G122" s="21">
        <f t="shared" ca="1" si="1"/>
        <v>44733.666666666599</v>
      </c>
      <c r="H122" s="19">
        <f t="shared" ref="H122:J122" ca="1" si="120">(C122/C121) - 1</f>
        <v>2.4772184375829509E-2</v>
      </c>
      <c r="I122" s="19">
        <f t="shared" si="120"/>
        <v>2.3731138545953323E-2</v>
      </c>
      <c r="J122" s="17">
        <f t="shared" si="120"/>
        <v>1.7942027949533479E-2</v>
      </c>
    </row>
    <row r="123" spans="2:10" ht="15.75" customHeight="1" x14ac:dyDescent="0.25">
      <c r="B123" s="21">
        <f ca="1">IFERROR(__xludf.DUMMYFUNCTION("""COMPUTED_VALUE"""),44734.6666666666)</f>
        <v>44734.666666666599</v>
      </c>
      <c r="C123" s="22">
        <f ca="1">IFERROR(__xludf.DUMMYFUNCTION("""COMPUTED_VALUE"""),115.18)</f>
        <v>115.18</v>
      </c>
      <c r="D123" s="22">
        <v>74.400000000000006</v>
      </c>
      <c r="E123" s="23">
        <v>284.54000000000002</v>
      </c>
      <c r="G123" s="21">
        <f t="shared" ca="1" si="1"/>
        <v>44734.666666666599</v>
      </c>
      <c r="H123" s="19">
        <f t="shared" ref="H123:J123" ca="1" si="121">(C123/C122) - 1</f>
        <v>-5.6116722783389195E-3</v>
      </c>
      <c r="I123" s="19">
        <f t="shared" si="121"/>
        <v>-3.0818705614362729E-3</v>
      </c>
      <c r="J123" s="17">
        <f t="shared" si="121"/>
        <v>-9.4800042133347251E-4</v>
      </c>
    </row>
    <row r="124" spans="2:10" ht="15.75" customHeight="1" x14ac:dyDescent="0.25">
      <c r="B124" s="21">
        <f ca="1">IFERROR(__xludf.DUMMYFUNCTION("""COMPUTED_VALUE"""),44735.6666666666)</f>
        <v>44735.666666666599</v>
      </c>
      <c r="C124" s="22">
        <f ca="1">IFERROR(__xludf.DUMMYFUNCTION("""COMPUTED_VALUE"""),113.92)</f>
        <v>113.92</v>
      </c>
      <c r="D124" s="22">
        <v>73.97</v>
      </c>
      <c r="E124" s="23">
        <v>286.17</v>
      </c>
      <c r="G124" s="21">
        <f t="shared" ca="1" si="1"/>
        <v>44735.666666666599</v>
      </c>
      <c r="H124" s="19">
        <f t="shared" ref="H124:J124" ca="1" si="122">(C124/C123) - 1</f>
        <v>-1.0939399201250311E-2</v>
      </c>
      <c r="I124" s="19">
        <f t="shared" si="122"/>
        <v>-5.7795698924731909E-3</v>
      </c>
      <c r="J124" s="17">
        <f t="shared" si="122"/>
        <v>5.7285443171435357E-3</v>
      </c>
    </row>
    <row r="125" spans="2:10" ht="15.75" customHeight="1" x14ac:dyDescent="0.25">
      <c r="B125" s="21">
        <f ca="1">IFERROR(__xludf.DUMMYFUNCTION("""COMPUTED_VALUE"""),44736.6666666666)</f>
        <v>44736.666666666599</v>
      </c>
      <c r="C125" s="22">
        <f ca="1">IFERROR(__xludf.DUMMYFUNCTION("""COMPUTED_VALUE"""),117.32)</f>
        <v>117.32</v>
      </c>
      <c r="D125" s="22">
        <v>77.819999999999993</v>
      </c>
      <c r="E125" s="23">
        <v>302.75</v>
      </c>
      <c r="G125" s="21">
        <f t="shared" ca="1" si="1"/>
        <v>44736.666666666599</v>
      </c>
      <c r="H125" s="19">
        <f t="shared" ref="H125:J125" ca="1" si="123">(C125/C124) - 1</f>
        <v>2.9845505617977386E-2</v>
      </c>
      <c r="I125" s="19">
        <f t="shared" si="123"/>
        <v>5.2048127619304996E-2</v>
      </c>
      <c r="J125" s="17">
        <f t="shared" si="123"/>
        <v>5.7937589544676094E-2</v>
      </c>
    </row>
    <row r="126" spans="2:10" ht="15.75" customHeight="1" x14ac:dyDescent="0.25">
      <c r="B126" s="21">
        <f ca="1">IFERROR(__xludf.DUMMYFUNCTION("""COMPUTED_VALUE"""),44739.6666666666)</f>
        <v>44739.666666666599</v>
      </c>
      <c r="C126" s="22">
        <f ca="1">IFERROR(__xludf.DUMMYFUNCTION("""COMPUTED_VALUE"""),116.38)</f>
        <v>116.38</v>
      </c>
      <c r="D126" s="22">
        <v>77.44</v>
      </c>
      <c r="E126" s="23">
        <v>300.77999999999997</v>
      </c>
      <c r="G126" s="21">
        <f t="shared" ca="1" si="1"/>
        <v>44739.666666666599</v>
      </c>
      <c r="H126" s="19">
        <f t="shared" ref="H126:J126" ca="1" si="124">(C126/C125) - 1</f>
        <v>-8.012274122059293E-3</v>
      </c>
      <c r="I126" s="19">
        <f t="shared" si="124"/>
        <v>-4.8830634798251449E-3</v>
      </c>
      <c r="J126" s="17">
        <f t="shared" si="124"/>
        <v>-6.5070189925682254E-3</v>
      </c>
    </row>
    <row r="127" spans="2:10" ht="15.75" customHeight="1" x14ac:dyDescent="0.25">
      <c r="B127" s="21">
        <f ca="1">IFERROR(__xludf.DUMMYFUNCTION("""COMPUTED_VALUE"""),44740.6666666666)</f>
        <v>44740.666666666599</v>
      </c>
      <c r="C127" s="22">
        <f ca="1">IFERROR(__xludf.DUMMYFUNCTION("""COMPUTED_VALUE"""),115.82)</f>
        <v>115.82</v>
      </c>
      <c r="D127" s="22">
        <v>78.16</v>
      </c>
      <c r="E127" s="23">
        <v>299.49</v>
      </c>
      <c r="G127" s="21">
        <f t="shared" ca="1" si="1"/>
        <v>44740.666666666599</v>
      </c>
      <c r="H127" s="19">
        <f t="shared" ref="H127:J127" ca="1" si="125">(C127/C126) - 1</f>
        <v>-4.8118233373432018E-3</v>
      </c>
      <c r="I127" s="19">
        <f t="shared" si="125"/>
        <v>9.2975206611569661E-3</v>
      </c>
      <c r="J127" s="17">
        <f t="shared" si="125"/>
        <v>-4.2888489926190543E-3</v>
      </c>
    </row>
    <row r="128" spans="2:10" ht="15.75" customHeight="1" x14ac:dyDescent="0.25">
      <c r="B128" s="21">
        <f ca="1">IFERROR(__xludf.DUMMYFUNCTION("""COMPUTED_VALUE"""),44741.6666666666)</f>
        <v>44741.666666666599</v>
      </c>
      <c r="C128" s="22">
        <f ca="1">IFERROR(__xludf.DUMMYFUNCTION("""COMPUTED_VALUE"""),115.3)</f>
        <v>115.3</v>
      </c>
      <c r="D128" s="22">
        <v>78.19</v>
      </c>
      <c r="E128" s="23">
        <v>303.27999999999997</v>
      </c>
      <c r="G128" s="21">
        <f t="shared" ca="1" si="1"/>
        <v>44741.666666666599</v>
      </c>
      <c r="H128" s="19">
        <f t="shared" ref="H128:J128" ca="1" si="126">(C128/C127) - 1</f>
        <v>-4.4897254360213301E-3</v>
      </c>
      <c r="I128" s="19">
        <f t="shared" si="126"/>
        <v>3.8382804503589441E-4</v>
      </c>
      <c r="J128" s="17">
        <f t="shared" si="126"/>
        <v>1.2654846572506484E-2</v>
      </c>
    </row>
    <row r="129" spans="2:10" ht="15.75" customHeight="1" x14ac:dyDescent="0.25">
      <c r="B129" s="21">
        <f ca="1">IFERROR(__xludf.DUMMYFUNCTION("""COMPUTED_VALUE"""),44742.6666666666)</f>
        <v>44742.666666666599</v>
      </c>
      <c r="C129" s="22">
        <f ca="1">IFERROR(__xludf.DUMMYFUNCTION("""COMPUTED_VALUE"""),112.61)</f>
        <v>112.61</v>
      </c>
      <c r="D129" s="22">
        <v>76.06</v>
      </c>
      <c r="E129" s="23">
        <v>297.02</v>
      </c>
      <c r="G129" s="21">
        <f t="shared" ca="1" si="1"/>
        <v>44742.666666666599</v>
      </c>
      <c r="H129" s="19">
        <f t="shared" ref="H129:J129" ca="1" si="127">(C129/C128) - 1</f>
        <v>-2.3330442324371203E-2</v>
      </c>
      <c r="I129" s="19">
        <f t="shared" si="127"/>
        <v>-2.7241335209105988E-2</v>
      </c>
      <c r="J129" s="17">
        <f t="shared" si="127"/>
        <v>-2.0640991822738042E-2</v>
      </c>
    </row>
    <row r="130" spans="2:10" ht="15.75" customHeight="1" x14ac:dyDescent="0.25">
      <c r="B130" s="21">
        <f ca="1">IFERROR(__xludf.DUMMYFUNCTION("""COMPUTED_VALUE"""),44743.6666666666)</f>
        <v>44743.666666666599</v>
      </c>
      <c r="C130" s="22">
        <f ca="1">IFERROR(__xludf.DUMMYFUNCTION("""COMPUTED_VALUE"""),114.05)</f>
        <v>114.05</v>
      </c>
      <c r="D130" s="22">
        <v>76.75</v>
      </c>
      <c r="E130" s="23">
        <v>299.23</v>
      </c>
      <c r="G130" s="21">
        <f t="shared" ca="1" si="1"/>
        <v>44743.666666666599</v>
      </c>
      <c r="H130" s="19">
        <f t="shared" ref="H130:J130" ca="1" si="128">(C130/C129) - 1</f>
        <v>1.2787496669922627E-2</v>
      </c>
      <c r="I130" s="19">
        <f t="shared" si="128"/>
        <v>9.0717854325532699E-3</v>
      </c>
      <c r="J130" s="17">
        <f t="shared" si="128"/>
        <v>7.4405763921623347E-3</v>
      </c>
    </row>
    <row r="131" spans="2:10" ht="15.75" customHeight="1" x14ac:dyDescent="0.25">
      <c r="B131" s="21">
        <f ca="1">IFERROR(__xludf.DUMMYFUNCTION("""COMPUTED_VALUE"""),44747.6666666666)</f>
        <v>44747.666666666599</v>
      </c>
      <c r="C131" s="22">
        <f ca="1">IFERROR(__xludf.DUMMYFUNCTION("""COMPUTED_VALUE"""),112.62)</f>
        <v>112.62</v>
      </c>
      <c r="D131" s="22">
        <v>76.11</v>
      </c>
      <c r="E131" s="23">
        <v>297.2</v>
      </c>
      <c r="G131" s="21">
        <f t="shared" ca="1" si="1"/>
        <v>44747.666666666599</v>
      </c>
      <c r="H131" s="19">
        <f t="shared" ref="H131:J131" ca="1" si="129">(C131/C130) - 1</f>
        <v>-1.2538360368259505E-2</v>
      </c>
      <c r="I131" s="19">
        <f t="shared" si="129"/>
        <v>-8.3387622149837526E-3</v>
      </c>
      <c r="J131" s="17">
        <f t="shared" si="129"/>
        <v>-6.7840791364502939E-3</v>
      </c>
    </row>
    <row r="132" spans="2:10" ht="15.75" customHeight="1" x14ac:dyDescent="0.25">
      <c r="B132" s="21">
        <f ca="1">IFERROR(__xludf.DUMMYFUNCTION("""COMPUTED_VALUE"""),44748.6666666666)</f>
        <v>44748.666666666599</v>
      </c>
      <c r="C132" s="22">
        <f ca="1">IFERROR(__xludf.DUMMYFUNCTION("""COMPUTED_VALUE"""),111.89)</f>
        <v>111.89</v>
      </c>
      <c r="D132" s="22">
        <v>75.45</v>
      </c>
      <c r="E132" s="23">
        <v>293.76</v>
      </c>
      <c r="G132" s="21">
        <f t="shared" ca="1" si="1"/>
        <v>44748.666666666599</v>
      </c>
      <c r="H132" s="19">
        <f t="shared" ref="H132:J132" ca="1" si="130">(C132/C131) - 1</f>
        <v>-6.4819747824542695E-3</v>
      </c>
      <c r="I132" s="19">
        <f t="shared" si="130"/>
        <v>-8.6716594402838076E-3</v>
      </c>
      <c r="J132" s="17">
        <f t="shared" si="130"/>
        <v>-1.1574697173620474E-2</v>
      </c>
    </row>
    <row r="133" spans="2:10" ht="15.75" customHeight="1" x14ac:dyDescent="0.25">
      <c r="B133" s="21">
        <f ca="1">IFERROR(__xludf.DUMMYFUNCTION("""COMPUTED_VALUE"""),44749.6666666666)</f>
        <v>44749.666666666599</v>
      </c>
      <c r="C133" s="22">
        <f ca="1">IFERROR(__xludf.DUMMYFUNCTION("""COMPUTED_VALUE"""),114.72)</f>
        <v>114.72</v>
      </c>
      <c r="D133" s="22">
        <v>76.989999999999995</v>
      </c>
      <c r="E133" s="23">
        <v>298.60000000000002</v>
      </c>
      <c r="G133" s="21">
        <f t="shared" ca="1" si="1"/>
        <v>44749.666666666599</v>
      </c>
      <c r="H133" s="19">
        <f t="shared" ref="H133:J133" ca="1" si="131">(C133/C132) - 1</f>
        <v>2.5292698185717999E-2</v>
      </c>
      <c r="I133" s="19">
        <f t="shared" si="131"/>
        <v>2.0410868124585813E-2</v>
      </c>
      <c r="J133" s="17">
        <f t="shared" si="131"/>
        <v>1.6476034858387889E-2</v>
      </c>
    </row>
    <row r="134" spans="2:10" ht="15.75" customHeight="1" x14ac:dyDescent="0.25">
      <c r="B134" s="21">
        <f ca="1">IFERROR(__xludf.DUMMYFUNCTION("""COMPUTED_VALUE"""),44750.6666666666)</f>
        <v>44750.666666666599</v>
      </c>
      <c r="C134" s="22">
        <f ca="1">IFERROR(__xludf.DUMMYFUNCTION("""COMPUTED_VALUE"""),114.36)</f>
        <v>114.36</v>
      </c>
      <c r="D134" s="22">
        <v>76.73</v>
      </c>
      <c r="E134" s="23">
        <v>296.47000000000003</v>
      </c>
      <c r="G134" s="21">
        <f t="shared" ca="1" si="1"/>
        <v>44750.666666666599</v>
      </c>
      <c r="H134" s="19">
        <f t="shared" ref="H134:J134" ca="1" si="132">(C134/C133) - 1</f>
        <v>-3.1380753138074979E-3</v>
      </c>
      <c r="I134" s="19">
        <f t="shared" si="132"/>
        <v>-3.3770619560981041E-3</v>
      </c>
      <c r="J134" s="17">
        <f t="shared" si="132"/>
        <v>-7.1332886805089979E-3</v>
      </c>
    </row>
    <row r="135" spans="2:10" ht="15.75" customHeight="1" x14ac:dyDescent="0.25">
      <c r="B135" s="21">
        <f ca="1">IFERROR(__xludf.DUMMYFUNCTION("""COMPUTED_VALUE"""),44753.6666666666)</f>
        <v>44753.666666666599</v>
      </c>
      <c r="C135" s="22">
        <f ca="1">IFERROR(__xludf.DUMMYFUNCTION("""COMPUTED_VALUE"""),112.86)</f>
        <v>112.86</v>
      </c>
      <c r="D135" s="22">
        <v>75.819999999999993</v>
      </c>
      <c r="E135" s="23">
        <v>293.18</v>
      </c>
      <c r="G135" s="21">
        <f t="shared" ca="1" si="1"/>
        <v>44753.666666666599</v>
      </c>
      <c r="H135" s="19">
        <f t="shared" ref="H135:J135" ca="1" si="133">(C135/C134) - 1</f>
        <v>-1.3116474291710367E-2</v>
      </c>
      <c r="I135" s="19">
        <f t="shared" si="133"/>
        <v>-1.1859768017724592E-2</v>
      </c>
      <c r="J135" s="17">
        <f t="shared" si="133"/>
        <v>-1.1097244240564019E-2</v>
      </c>
    </row>
    <row r="136" spans="2:10" ht="15.75" customHeight="1" x14ac:dyDescent="0.25">
      <c r="B136" s="21">
        <f ca="1">IFERROR(__xludf.DUMMYFUNCTION("""COMPUTED_VALUE"""),44754.6666666666)</f>
        <v>44754.666666666599</v>
      </c>
      <c r="C136" s="22">
        <f ca="1">IFERROR(__xludf.DUMMYFUNCTION("""COMPUTED_VALUE"""),112.97)</f>
        <v>112.97</v>
      </c>
      <c r="D136" s="22">
        <v>75.94</v>
      </c>
      <c r="E136" s="23">
        <v>292.52999999999997</v>
      </c>
      <c r="G136" s="21">
        <f t="shared" ca="1" si="1"/>
        <v>44754.666666666599</v>
      </c>
      <c r="H136" s="19">
        <f t="shared" ref="H136:J136" ca="1" si="134">(C136/C135) - 1</f>
        <v>9.746588693957392E-4</v>
      </c>
      <c r="I136" s="19">
        <f t="shared" si="134"/>
        <v>1.5826958586124817E-3</v>
      </c>
      <c r="J136" s="17">
        <f t="shared" si="134"/>
        <v>-2.217068012824952E-3</v>
      </c>
    </row>
    <row r="137" spans="2:10" ht="15.75" customHeight="1" x14ac:dyDescent="0.25">
      <c r="B137" s="21">
        <f ca="1">IFERROR(__xludf.DUMMYFUNCTION("""COMPUTED_VALUE"""),44755.6666666666)</f>
        <v>44755.666666666599</v>
      </c>
      <c r="C137" s="22">
        <f ca="1">IFERROR(__xludf.DUMMYFUNCTION("""COMPUTED_VALUE"""),111.91)</f>
        <v>111.91</v>
      </c>
      <c r="D137" s="22">
        <v>74.98</v>
      </c>
      <c r="E137" s="23">
        <v>290.14999999999998</v>
      </c>
      <c r="G137" s="21">
        <f t="shared" ca="1" si="1"/>
        <v>44755.666666666599</v>
      </c>
      <c r="H137" s="19">
        <f t="shared" ref="H137:J137" ca="1" si="135">(C137/C136) - 1</f>
        <v>-9.3830220412498555E-3</v>
      </c>
      <c r="I137" s="19">
        <f t="shared" si="135"/>
        <v>-1.2641559125625368E-2</v>
      </c>
      <c r="J137" s="17">
        <f t="shared" si="135"/>
        <v>-8.1359176836564018E-3</v>
      </c>
    </row>
    <row r="138" spans="2:10" ht="15.75" customHeight="1" x14ac:dyDescent="0.25">
      <c r="B138" s="21">
        <f ca="1">IFERROR(__xludf.DUMMYFUNCTION("""COMPUTED_VALUE"""),44756.6666666666)</f>
        <v>44756.666666666599</v>
      </c>
      <c r="C138" s="22">
        <f ca="1">IFERROR(__xludf.DUMMYFUNCTION("""COMPUTED_VALUE"""),108)</f>
        <v>108</v>
      </c>
      <c r="D138" s="22">
        <v>74.69</v>
      </c>
      <c r="E138" s="23">
        <v>281.58999999999997</v>
      </c>
      <c r="G138" s="21">
        <f t="shared" ca="1" si="1"/>
        <v>44756.666666666599</v>
      </c>
      <c r="H138" s="19">
        <f t="shared" ref="H138:J138" ca="1" si="136">(C138/C137) - 1</f>
        <v>-3.4938790099186767E-2</v>
      </c>
      <c r="I138" s="19">
        <f t="shared" si="136"/>
        <v>-3.8676980528141724E-3</v>
      </c>
      <c r="J138" s="17">
        <f t="shared" si="136"/>
        <v>-2.9501981733586091E-2</v>
      </c>
    </row>
    <row r="139" spans="2:10" ht="15.75" customHeight="1" x14ac:dyDescent="0.25">
      <c r="B139" s="21">
        <f ca="1">IFERROR(__xludf.DUMMYFUNCTION("""COMPUTED_VALUE"""),44757.6666666666)</f>
        <v>44757.666666666599</v>
      </c>
      <c r="C139" s="22">
        <f ca="1">IFERROR(__xludf.DUMMYFUNCTION("""COMPUTED_VALUE"""),112.95)</f>
        <v>112.95</v>
      </c>
      <c r="D139" s="22">
        <v>78.05</v>
      </c>
      <c r="E139" s="23">
        <v>293.87</v>
      </c>
      <c r="G139" s="21">
        <f t="shared" ca="1" si="1"/>
        <v>44757.666666666599</v>
      </c>
      <c r="H139" s="19">
        <f t="shared" ref="H139:J139" ca="1" si="137">(C139/C138) - 1</f>
        <v>4.5833333333333393E-2</v>
      </c>
      <c r="I139" s="19">
        <f t="shared" si="137"/>
        <v>4.498594189315841E-2</v>
      </c>
      <c r="J139" s="17">
        <f t="shared" si="137"/>
        <v>4.3609503178380082E-2</v>
      </c>
    </row>
    <row r="140" spans="2:10" ht="15.75" customHeight="1" x14ac:dyDescent="0.25">
      <c r="B140" s="21">
        <f ca="1">IFERROR(__xludf.DUMMYFUNCTION("""COMPUTED_VALUE"""),44760.6666666666)</f>
        <v>44760.666666666599</v>
      </c>
      <c r="C140" s="22">
        <f ca="1">IFERROR(__xludf.DUMMYFUNCTION("""COMPUTED_VALUE"""),111.79)</f>
        <v>111.79</v>
      </c>
      <c r="D140" s="22">
        <v>78.86</v>
      </c>
      <c r="E140" s="23">
        <v>301.26</v>
      </c>
      <c r="G140" s="21">
        <f t="shared" ca="1" si="1"/>
        <v>44760.666666666599</v>
      </c>
      <c r="H140" s="19">
        <f t="shared" ref="H140:J140" ca="1" si="138">(C140/C139) - 1</f>
        <v>-1.0270030987162393E-2</v>
      </c>
      <c r="I140" s="19">
        <f t="shared" si="138"/>
        <v>1.0377962844330568E-2</v>
      </c>
      <c r="J140" s="17">
        <f t="shared" si="138"/>
        <v>2.5147173920440968E-2</v>
      </c>
    </row>
    <row r="141" spans="2:10" ht="15.75" customHeight="1" x14ac:dyDescent="0.25">
      <c r="B141" s="21">
        <f ca="1">IFERROR(__xludf.DUMMYFUNCTION("""COMPUTED_VALUE"""),44761.6666666666)</f>
        <v>44761.666666666599</v>
      </c>
      <c r="C141" s="22">
        <f ca="1">IFERROR(__xludf.DUMMYFUNCTION("""COMPUTED_VALUE"""),114.56)</f>
        <v>114.56</v>
      </c>
      <c r="D141" s="22">
        <v>81.650000000000006</v>
      </c>
      <c r="E141" s="23">
        <v>318.05</v>
      </c>
      <c r="G141" s="21">
        <f t="shared" ca="1" si="1"/>
        <v>44761.666666666599</v>
      </c>
      <c r="H141" s="19">
        <f t="shared" ref="H141:J141" ca="1" si="139">(C141/C140) - 1</f>
        <v>2.4778602737275168E-2</v>
      </c>
      <c r="I141" s="19">
        <f t="shared" si="139"/>
        <v>3.5379152929241764E-2</v>
      </c>
      <c r="J141" s="17">
        <f t="shared" si="139"/>
        <v>5.5732589789550646E-2</v>
      </c>
    </row>
    <row r="142" spans="2:10" ht="15.75" customHeight="1" x14ac:dyDescent="0.25">
      <c r="B142" s="21">
        <f ca="1">IFERROR(__xludf.DUMMYFUNCTION("""COMPUTED_VALUE"""),44762.6666666666)</f>
        <v>44762.666666666599</v>
      </c>
      <c r="C142" s="22">
        <f ca="1">IFERROR(__xludf.DUMMYFUNCTION("""COMPUTED_VALUE"""),114.54)</f>
        <v>114.54</v>
      </c>
      <c r="D142" s="22">
        <v>81.81</v>
      </c>
      <c r="E142" s="23">
        <v>321.45</v>
      </c>
      <c r="G142" s="21">
        <f t="shared" ca="1" si="1"/>
        <v>44762.666666666599</v>
      </c>
      <c r="H142" s="19">
        <f t="shared" ref="H142:J142" ca="1" si="140">(C142/C141) - 1</f>
        <v>-1.7458100558653822E-4</v>
      </c>
      <c r="I142" s="19">
        <f t="shared" si="140"/>
        <v>1.9595835884873569E-3</v>
      </c>
      <c r="J142" s="17">
        <f t="shared" si="140"/>
        <v>1.069014305926741E-2</v>
      </c>
    </row>
    <row r="143" spans="2:10" ht="15.75" customHeight="1" x14ac:dyDescent="0.25">
      <c r="B143" s="21">
        <f ca="1">IFERROR(__xludf.DUMMYFUNCTION("""COMPUTED_VALUE"""),44763.6666666666)</f>
        <v>44763.666666666599</v>
      </c>
      <c r="C143" s="22">
        <f ca="1">IFERROR(__xludf.DUMMYFUNCTION("""COMPUTED_VALUE"""),115.32)</f>
        <v>115.32</v>
      </c>
      <c r="D143" s="22">
        <v>83.02</v>
      </c>
      <c r="E143" s="23">
        <v>326.54000000000002</v>
      </c>
      <c r="G143" s="21">
        <f t="shared" ca="1" si="1"/>
        <v>44763.666666666599</v>
      </c>
      <c r="H143" s="19">
        <f t="shared" ref="H143:J143" ca="1" si="141">(C143/C142) - 1</f>
        <v>6.8098480880041112E-3</v>
      </c>
      <c r="I143" s="19">
        <f t="shared" si="141"/>
        <v>1.4790367925681336E-2</v>
      </c>
      <c r="J143" s="17">
        <f t="shared" si="141"/>
        <v>1.5834499922227518E-2</v>
      </c>
    </row>
    <row r="144" spans="2:10" ht="15.75" customHeight="1" x14ac:dyDescent="0.25">
      <c r="B144" s="21">
        <f ca="1">IFERROR(__xludf.DUMMYFUNCTION("""COMPUTED_VALUE"""),44764.6666666666)</f>
        <v>44764.666666666599</v>
      </c>
      <c r="C144" s="22">
        <f ca="1">IFERROR(__xludf.DUMMYFUNCTION("""COMPUTED_VALUE"""),114.76)</f>
        <v>114.76</v>
      </c>
      <c r="D144" s="22">
        <v>82.43</v>
      </c>
      <c r="E144" s="23">
        <v>323.93</v>
      </c>
      <c r="G144" s="21">
        <f t="shared" ca="1" si="1"/>
        <v>44764.666666666599</v>
      </c>
      <c r="H144" s="19">
        <f t="shared" ref="H144:J144" ca="1" si="142">(C144/C143) - 1</f>
        <v>-4.8560527228580508E-3</v>
      </c>
      <c r="I144" s="19">
        <f t="shared" si="142"/>
        <v>-7.1067212719825301E-3</v>
      </c>
      <c r="J144" s="17">
        <f t="shared" si="142"/>
        <v>-7.9928952042629398E-3</v>
      </c>
    </row>
    <row r="145" spans="2:10" ht="15.75" customHeight="1" x14ac:dyDescent="0.25">
      <c r="B145" s="21">
        <f ca="1">IFERROR(__xludf.DUMMYFUNCTION("""COMPUTED_VALUE"""),44767.6666666666)</f>
        <v>44767.666666666599</v>
      </c>
      <c r="C145" s="22">
        <f ca="1">IFERROR(__xludf.DUMMYFUNCTION("""COMPUTED_VALUE"""),115.22)</f>
        <v>115.22</v>
      </c>
      <c r="D145" s="22">
        <v>82.55</v>
      </c>
      <c r="E145" s="23">
        <v>324.12</v>
      </c>
      <c r="G145" s="21">
        <f t="shared" ca="1" si="1"/>
        <v>44767.666666666599</v>
      </c>
      <c r="H145" s="19">
        <f t="shared" ref="H145:J145" ca="1" si="143">(C145/C144) - 1</f>
        <v>4.0083652840710027E-3</v>
      </c>
      <c r="I145" s="19">
        <f t="shared" si="143"/>
        <v>1.4557806623800573E-3</v>
      </c>
      <c r="J145" s="17">
        <f t="shared" si="143"/>
        <v>5.8654647609057697E-4</v>
      </c>
    </row>
    <row r="146" spans="2:10" ht="15.75" customHeight="1" x14ac:dyDescent="0.25">
      <c r="B146" s="21">
        <f ca="1">IFERROR(__xludf.DUMMYFUNCTION("""COMPUTED_VALUE"""),44768.6666666666)</f>
        <v>44768.666666666599</v>
      </c>
      <c r="C146" s="22">
        <f ca="1">IFERROR(__xludf.DUMMYFUNCTION("""COMPUTED_VALUE"""),113.42)</f>
        <v>113.42</v>
      </c>
      <c r="D146" s="22">
        <v>80.790000000000006</v>
      </c>
      <c r="E146" s="23">
        <v>318.55</v>
      </c>
      <c r="G146" s="21">
        <f t="shared" ca="1" si="1"/>
        <v>44768.666666666599</v>
      </c>
      <c r="H146" s="19">
        <f t="shared" ref="H146:J146" ca="1" si="144">(C146/C145) - 1</f>
        <v>-1.5622287797257384E-2</v>
      </c>
      <c r="I146" s="19">
        <f t="shared" si="144"/>
        <v>-2.1320411871592837E-2</v>
      </c>
      <c r="J146" s="17">
        <f t="shared" si="144"/>
        <v>-1.718499321239042E-2</v>
      </c>
    </row>
    <row r="147" spans="2:10" ht="15.75" customHeight="1" x14ac:dyDescent="0.25">
      <c r="B147" s="21">
        <f ca="1">IFERROR(__xludf.DUMMYFUNCTION("""COMPUTED_VALUE"""),44769.6666666666)</f>
        <v>44769.666666666599</v>
      </c>
      <c r="C147" s="22">
        <f ca="1">IFERROR(__xludf.DUMMYFUNCTION("""COMPUTED_VALUE"""),115.24)</f>
        <v>115.24</v>
      </c>
      <c r="D147" s="22">
        <v>82.51</v>
      </c>
      <c r="E147" s="23">
        <v>324.54000000000002</v>
      </c>
      <c r="G147" s="21">
        <f t="shared" ca="1" si="1"/>
        <v>44769.666666666599</v>
      </c>
      <c r="H147" s="19">
        <f t="shared" ref="H147:J147" ca="1" si="145">(C147/C146) - 1</f>
        <v>1.6046552636219236E-2</v>
      </c>
      <c r="I147" s="19">
        <f t="shared" si="145"/>
        <v>2.1289763584602106E-2</v>
      </c>
      <c r="J147" s="17">
        <f t="shared" si="145"/>
        <v>1.880395542301061E-2</v>
      </c>
    </row>
    <row r="148" spans="2:10" ht="15.75" customHeight="1" x14ac:dyDescent="0.25">
      <c r="B148" s="21">
        <f ca="1">IFERROR(__xludf.DUMMYFUNCTION("""COMPUTED_VALUE"""),44770.6666666666)</f>
        <v>44770.666666666599</v>
      </c>
      <c r="C148" s="22">
        <f ca="1">IFERROR(__xludf.DUMMYFUNCTION("""COMPUTED_VALUE"""),114.81)</f>
        <v>114.81</v>
      </c>
      <c r="D148" s="22">
        <v>82.95</v>
      </c>
      <c r="E148" s="23">
        <v>329.11</v>
      </c>
      <c r="G148" s="21">
        <f t="shared" ca="1" si="1"/>
        <v>44770.666666666599</v>
      </c>
      <c r="H148" s="19">
        <f t="shared" ref="H148:J148" ca="1" si="146">(C148/C147) - 1</f>
        <v>-3.7313432835820448E-3</v>
      </c>
      <c r="I148" s="19">
        <f t="shared" si="146"/>
        <v>5.3326869470367022E-3</v>
      </c>
      <c r="J148" s="17">
        <f t="shared" si="146"/>
        <v>1.4081469156344451E-2</v>
      </c>
    </row>
    <row r="149" spans="2:10" ht="15.75" customHeight="1" x14ac:dyDescent="0.25">
      <c r="B149" s="21">
        <f ca="1">IFERROR(__xludf.DUMMYFUNCTION("""COMPUTED_VALUE"""),44771.6666666666)</f>
        <v>44771.666666666599</v>
      </c>
      <c r="C149" s="22">
        <f ca="1">IFERROR(__xludf.DUMMYFUNCTION("""COMPUTED_VALUE"""),115.36)</f>
        <v>115.36</v>
      </c>
      <c r="D149" s="22">
        <v>84.3</v>
      </c>
      <c r="E149" s="23">
        <v>333.39</v>
      </c>
      <c r="G149" s="21">
        <f t="shared" ca="1" si="1"/>
        <v>44771.666666666599</v>
      </c>
      <c r="H149" s="19">
        <f t="shared" ref="H149:J149" ca="1" si="147">(C149/C148) - 1</f>
        <v>4.7905234735650115E-3</v>
      </c>
      <c r="I149" s="19">
        <f t="shared" si="147"/>
        <v>1.6274864376130127E-2</v>
      </c>
      <c r="J149" s="17">
        <f t="shared" si="147"/>
        <v>1.3004770441493729E-2</v>
      </c>
    </row>
    <row r="150" spans="2:10" ht="15.75" customHeight="1" x14ac:dyDescent="0.25">
      <c r="B150" s="21">
        <f ca="1">IFERROR(__xludf.DUMMYFUNCTION("""COMPUTED_VALUE"""),44774.6666666666)</f>
        <v>44774.666666666599</v>
      </c>
      <c r="C150" s="22">
        <f ca="1">IFERROR(__xludf.DUMMYFUNCTION("""COMPUTED_VALUE"""),114.21)</f>
        <v>114.21</v>
      </c>
      <c r="D150" s="22">
        <v>84.09</v>
      </c>
      <c r="E150" s="23">
        <v>332.08</v>
      </c>
      <c r="G150" s="21">
        <f t="shared" ca="1" si="1"/>
        <v>44774.666666666599</v>
      </c>
      <c r="H150" s="19">
        <f t="shared" ref="H150:J150" ca="1" si="148">(C150/C149) - 1</f>
        <v>-9.9687933425798292E-3</v>
      </c>
      <c r="I150" s="19">
        <f t="shared" si="148"/>
        <v>-2.491103202846956E-3</v>
      </c>
      <c r="J150" s="17">
        <f t="shared" si="148"/>
        <v>-3.9293320135577181E-3</v>
      </c>
    </row>
    <row r="151" spans="2:10" ht="15.75" customHeight="1" x14ac:dyDescent="0.25">
      <c r="B151" s="21">
        <f ca="1">IFERROR(__xludf.DUMMYFUNCTION("""COMPUTED_VALUE"""),44775.6666666666)</f>
        <v>44775.666666666599</v>
      </c>
      <c r="C151" s="22">
        <f ca="1">IFERROR(__xludf.DUMMYFUNCTION("""COMPUTED_VALUE"""),112.43)</f>
        <v>112.43</v>
      </c>
      <c r="D151" s="22">
        <v>83.53</v>
      </c>
      <c r="E151" s="23">
        <v>327.88</v>
      </c>
      <c r="G151" s="21">
        <f t="shared" ca="1" si="1"/>
        <v>44775.666666666599</v>
      </c>
      <c r="H151" s="19">
        <f t="shared" ref="H151:J151" ca="1" si="149">(C151/C150) - 1</f>
        <v>-1.5585325277996609E-2</v>
      </c>
      <c r="I151" s="19">
        <f t="shared" si="149"/>
        <v>-6.6595314543941297E-3</v>
      </c>
      <c r="J151" s="17">
        <f t="shared" si="149"/>
        <v>-1.2647554806070826E-2</v>
      </c>
    </row>
    <row r="152" spans="2:10" ht="15.75" customHeight="1" x14ac:dyDescent="0.25">
      <c r="B152" s="21">
        <f ca="1">IFERROR(__xludf.DUMMYFUNCTION("""COMPUTED_VALUE"""),44776.6666666666)</f>
        <v>44776.666666666599</v>
      </c>
      <c r="C152" s="22">
        <f ca="1">IFERROR(__xludf.DUMMYFUNCTION("""COMPUTED_VALUE"""),113.61)</f>
        <v>113.61</v>
      </c>
      <c r="D152" s="22">
        <v>85.05</v>
      </c>
      <c r="E152" s="23">
        <v>333.17</v>
      </c>
      <c r="G152" s="21">
        <f t="shared" ca="1" si="1"/>
        <v>44776.666666666599</v>
      </c>
      <c r="H152" s="19">
        <f t="shared" ref="H152:J152" ca="1" si="150">(C152/C151) - 1</f>
        <v>1.0495419372053671E-2</v>
      </c>
      <c r="I152" s="19">
        <f t="shared" si="150"/>
        <v>1.8197054950317204E-2</v>
      </c>
      <c r="J152" s="17">
        <f t="shared" si="150"/>
        <v>1.6133951445650885E-2</v>
      </c>
    </row>
    <row r="153" spans="2:10" ht="15.75" customHeight="1" x14ac:dyDescent="0.25">
      <c r="B153" s="21">
        <f ca="1">IFERROR(__xludf.DUMMYFUNCTION("""COMPUTED_VALUE"""),44777.6666666666)</f>
        <v>44777.666666666599</v>
      </c>
      <c r="C153" s="22">
        <f ca="1">IFERROR(__xludf.DUMMYFUNCTION("""COMPUTED_VALUE"""),112.36)</f>
        <v>112.36</v>
      </c>
      <c r="D153" s="22">
        <v>85.36</v>
      </c>
      <c r="E153" s="23">
        <v>331.87</v>
      </c>
      <c r="G153" s="21">
        <f t="shared" ca="1" si="1"/>
        <v>44777.666666666599</v>
      </c>
      <c r="H153" s="19">
        <f t="shared" ref="H153:J153" ca="1" si="151">(C153/C152) - 1</f>
        <v>-1.1002552592201398E-2</v>
      </c>
      <c r="I153" s="19">
        <f t="shared" si="151"/>
        <v>3.6449147560257966E-3</v>
      </c>
      <c r="J153" s="17">
        <f t="shared" si="151"/>
        <v>-3.9019119368490784E-3</v>
      </c>
    </row>
    <row r="154" spans="2:10" ht="15.75" customHeight="1" x14ac:dyDescent="0.25">
      <c r="B154" s="21">
        <f ca="1">IFERROR(__xludf.DUMMYFUNCTION("""COMPUTED_VALUE"""),44778.6666666666)</f>
        <v>44778.666666666599</v>
      </c>
      <c r="C154" s="22">
        <f ca="1">IFERROR(__xludf.DUMMYFUNCTION("""COMPUTED_VALUE"""),115.76)</f>
        <v>115.76</v>
      </c>
      <c r="D154" s="22">
        <v>86.13</v>
      </c>
      <c r="E154" s="23">
        <v>334.67</v>
      </c>
      <c r="G154" s="21">
        <f t="shared" ca="1" si="1"/>
        <v>44778.666666666599</v>
      </c>
      <c r="H154" s="19">
        <f t="shared" ref="H154:J154" ca="1" si="152">(C154/C153) - 1</f>
        <v>3.025987896048421E-2</v>
      </c>
      <c r="I154" s="19">
        <f t="shared" si="152"/>
        <v>9.0206185567009989E-3</v>
      </c>
      <c r="J154" s="17">
        <f t="shared" si="152"/>
        <v>8.4370385994516628E-3</v>
      </c>
    </row>
    <row r="155" spans="2:10" ht="15.75" customHeight="1" x14ac:dyDescent="0.25">
      <c r="B155" s="21">
        <f ca="1">IFERROR(__xludf.DUMMYFUNCTION("""COMPUTED_VALUE"""),44781.6666666666)</f>
        <v>44781.666666666599</v>
      </c>
      <c r="C155" s="22">
        <f ca="1">IFERROR(__xludf.DUMMYFUNCTION("""COMPUTED_VALUE"""),114.35)</f>
        <v>114.35</v>
      </c>
      <c r="D155" s="22">
        <v>86.03</v>
      </c>
      <c r="E155" s="23">
        <v>334.68</v>
      </c>
      <c r="G155" s="21">
        <f t="shared" ca="1" si="1"/>
        <v>44781.666666666599</v>
      </c>
      <c r="H155" s="19">
        <f t="shared" ref="H155:J155" ca="1" si="153">(C155/C154) - 1</f>
        <v>-1.2180373185901927E-2</v>
      </c>
      <c r="I155" s="19">
        <f t="shared" si="153"/>
        <v>-1.1610356437942171E-3</v>
      </c>
      <c r="J155" s="17">
        <f t="shared" si="153"/>
        <v>2.9880180476338225E-5</v>
      </c>
    </row>
    <row r="156" spans="2:10" ht="15.75" customHeight="1" x14ac:dyDescent="0.25">
      <c r="B156" s="21">
        <f ca="1">IFERROR(__xludf.DUMMYFUNCTION("""COMPUTED_VALUE"""),44782.6666666666)</f>
        <v>44782.666666666599</v>
      </c>
      <c r="C156" s="22">
        <f ca="1">IFERROR(__xludf.DUMMYFUNCTION("""COMPUTED_VALUE"""),115.38)</f>
        <v>115.38</v>
      </c>
      <c r="D156" s="22">
        <v>86.36</v>
      </c>
      <c r="E156" s="23">
        <v>336.62</v>
      </c>
      <c r="G156" s="21">
        <f t="shared" ca="1" si="1"/>
        <v>44782.666666666599</v>
      </c>
      <c r="H156" s="19">
        <f t="shared" ref="H156:J156" ca="1" si="154">(C156/C155) - 1</f>
        <v>9.0074333187581956E-3</v>
      </c>
      <c r="I156" s="19">
        <f t="shared" si="154"/>
        <v>3.8358712077182222E-3</v>
      </c>
      <c r="J156" s="17">
        <f t="shared" si="154"/>
        <v>5.7965818094896093E-3</v>
      </c>
    </row>
    <row r="157" spans="2:10" ht="15.75" customHeight="1" x14ac:dyDescent="0.25">
      <c r="B157" s="21">
        <f ca="1">IFERROR(__xludf.DUMMYFUNCTION("""COMPUTED_VALUE"""),44783.6666666666)</f>
        <v>44783.666666666599</v>
      </c>
      <c r="C157" s="22">
        <f ca="1">IFERROR(__xludf.DUMMYFUNCTION("""COMPUTED_VALUE"""),118.39)</f>
        <v>118.39</v>
      </c>
      <c r="D157" s="22">
        <v>88.89</v>
      </c>
      <c r="E157" s="23">
        <v>347.91</v>
      </c>
      <c r="G157" s="21">
        <f t="shared" ca="1" si="1"/>
        <v>44783.666666666599</v>
      </c>
      <c r="H157" s="19">
        <f t="shared" ref="H157:J157" ca="1" si="155">(C157/C156) - 1</f>
        <v>2.6087710175073608E-2</v>
      </c>
      <c r="I157" s="19">
        <f t="shared" si="155"/>
        <v>2.9295970356646661E-2</v>
      </c>
      <c r="J157" s="17">
        <f t="shared" si="155"/>
        <v>3.3539302477571198E-2</v>
      </c>
    </row>
    <row r="158" spans="2:10" ht="15.75" customHeight="1" x14ac:dyDescent="0.25">
      <c r="B158" s="21">
        <f ca="1">IFERROR(__xludf.DUMMYFUNCTION("""COMPUTED_VALUE"""),44784.6666666666)</f>
        <v>44784.666666666599</v>
      </c>
      <c r="C158" s="22">
        <f ca="1">IFERROR(__xludf.DUMMYFUNCTION("""COMPUTED_VALUE"""),120.14)</f>
        <v>120.14</v>
      </c>
      <c r="D158" s="22">
        <v>90.2</v>
      </c>
      <c r="E158" s="23">
        <v>351.68</v>
      </c>
      <c r="G158" s="21">
        <f t="shared" ca="1" si="1"/>
        <v>44784.666666666599</v>
      </c>
      <c r="H158" s="19">
        <f t="shared" ref="H158:J158" ca="1" si="156">(C158/C157) - 1</f>
        <v>1.4781653855900023E-2</v>
      </c>
      <c r="I158" s="19">
        <f t="shared" si="156"/>
        <v>1.473731578355264E-2</v>
      </c>
      <c r="J158" s="17">
        <f t="shared" si="156"/>
        <v>1.0836135782242406E-2</v>
      </c>
    </row>
    <row r="159" spans="2:10" ht="15.75" customHeight="1" x14ac:dyDescent="0.25">
      <c r="B159" s="21">
        <f ca="1">IFERROR(__xludf.DUMMYFUNCTION("""COMPUTED_VALUE"""),44785.6666666666)</f>
        <v>44785.666666666599</v>
      </c>
      <c r="C159" s="22">
        <f ca="1">IFERROR(__xludf.DUMMYFUNCTION("""COMPUTED_VALUE"""),122.13)</f>
        <v>122.13</v>
      </c>
      <c r="D159" s="22">
        <v>91.66</v>
      </c>
      <c r="E159" s="23">
        <v>353.82</v>
      </c>
      <c r="G159" s="21">
        <f t="shared" ca="1" si="1"/>
        <v>44785.666666666599</v>
      </c>
      <c r="H159" s="19">
        <f t="shared" ref="H159:J159" ca="1" si="157">(C159/C158) - 1</f>
        <v>1.6564008656567264E-2</v>
      </c>
      <c r="I159" s="19">
        <f t="shared" si="157"/>
        <v>1.6186252771618559E-2</v>
      </c>
      <c r="J159" s="17">
        <f t="shared" si="157"/>
        <v>6.0850773430389804E-3</v>
      </c>
    </row>
    <row r="160" spans="2:10" ht="15.75" customHeight="1" x14ac:dyDescent="0.25">
      <c r="B160" s="21">
        <f ca="1">IFERROR(__xludf.DUMMYFUNCTION("""COMPUTED_VALUE"""),44788.6666666666)</f>
        <v>44788.666666666599</v>
      </c>
      <c r="C160" s="22">
        <f ca="1">IFERROR(__xludf.DUMMYFUNCTION("""COMPUTED_VALUE"""),122.46)</f>
        <v>122.46</v>
      </c>
      <c r="D160" s="22">
        <v>92.02</v>
      </c>
      <c r="E160" s="23">
        <v>355.85</v>
      </c>
      <c r="G160" s="21">
        <f t="shared" ca="1" si="1"/>
        <v>44788.666666666599</v>
      </c>
      <c r="H160" s="19">
        <f t="shared" ref="H160:J160" ca="1" si="158">(C160/C159) - 1</f>
        <v>2.7020388111029803E-3</v>
      </c>
      <c r="I160" s="19">
        <f t="shared" si="158"/>
        <v>3.9275583678812787E-3</v>
      </c>
      <c r="J160" s="17">
        <f t="shared" si="158"/>
        <v>5.7373805890001961E-3</v>
      </c>
    </row>
    <row r="161" spans="2:10" ht="15.75" customHeight="1" x14ac:dyDescent="0.25">
      <c r="B161" s="21">
        <f ca="1">IFERROR(__xludf.DUMMYFUNCTION("""COMPUTED_VALUE"""),44789.6666666666)</f>
        <v>44789.666666666599</v>
      </c>
      <c r="C161" s="22">
        <f ca="1">IFERROR(__xludf.DUMMYFUNCTION("""COMPUTED_VALUE"""),123.63)</f>
        <v>123.63</v>
      </c>
      <c r="D161" s="22">
        <v>91.82</v>
      </c>
      <c r="E161" s="23">
        <v>354.97</v>
      </c>
      <c r="G161" s="21">
        <f t="shared" ca="1" si="1"/>
        <v>44789.666666666599</v>
      </c>
      <c r="H161" s="19">
        <f t="shared" ref="H161:J161" ca="1" si="159">(C161/C160) - 1</f>
        <v>9.5541401273886439E-3</v>
      </c>
      <c r="I161" s="19">
        <f t="shared" si="159"/>
        <v>-2.1734405564007853E-3</v>
      </c>
      <c r="J161" s="17">
        <f t="shared" si="159"/>
        <v>-2.4729520865532928E-3</v>
      </c>
    </row>
    <row r="162" spans="2:10" ht="15.75" customHeight="1" x14ac:dyDescent="0.25">
      <c r="B162" s="21">
        <f ca="1">IFERROR(__xludf.DUMMYFUNCTION("""COMPUTED_VALUE"""),44790.6666666666)</f>
        <v>44790.666666666599</v>
      </c>
      <c r="C162" s="22">
        <f ca="1">IFERROR(__xludf.DUMMYFUNCTION("""COMPUTED_VALUE"""),122.59)</f>
        <v>122.59</v>
      </c>
      <c r="D162" s="22">
        <v>91.35</v>
      </c>
      <c r="E162" s="23">
        <v>353.74</v>
      </c>
      <c r="G162" s="21">
        <f t="shared" ca="1" si="1"/>
        <v>44790.666666666599</v>
      </c>
      <c r="H162" s="19">
        <f t="shared" ref="H162:J162" ca="1" si="160">(C162/C161) - 1</f>
        <v>-8.4121976866455839E-3</v>
      </c>
      <c r="I162" s="19">
        <f t="shared" si="160"/>
        <v>-5.1187105205837691E-3</v>
      </c>
      <c r="J162" s="17">
        <f t="shared" si="160"/>
        <v>-3.4650815561878545E-3</v>
      </c>
    </row>
    <row r="163" spans="2:10" ht="15.75" customHeight="1" x14ac:dyDescent="0.25">
      <c r="B163" s="21">
        <f ca="1">IFERROR(__xludf.DUMMYFUNCTION("""COMPUTED_VALUE"""),44791.6666666666)</f>
        <v>44791.666666666599</v>
      </c>
      <c r="C163" s="22">
        <f ca="1">IFERROR(__xludf.DUMMYFUNCTION("""COMPUTED_VALUE"""),121.64)</f>
        <v>121.64</v>
      </c>
      <c r="D163" s="22">
        <v>91.73</v>
      </c>
      <c r="E163" s="23">
        <v>354.52</v>
      </c>
      <c r="G163" s="21">
        <f t="shared" ca="1" si="1"/>
        <v>44791.666666666599</v>
      </c>
      <c r="H163" s="19">
        <f t="shared" ref="H163:J163" ca="1" si="161">(C163/C162) - 1</f>
        <v>-7.7494085977649618E-3</v>
      </c>
      <c r="I163" s="19">
        <f t="shared" si="161"/>
        <v>4.159824849480076E-3</v>
      </c>
      <c r="J163" s="17">
        <f t="shared" si="161"/>
        <v>2.2050093288854544E-3</v>
      </c>
    </row>
    <row r="164" spans="2:10" ht="15.75" customHeight="1" x14ac:dyDescent="0.25">
      <c r="B164" s="21">
        <f ca="1">IFERROR(__xludf.DUMMYFUNCTION("""COMPUTED_VALUE"""),44792.6666666666)</f>
        <v>44792.666666666599</v>
      </c>
      <c r="C164" s="22">
        <f ca="1">IFERROR(__xludf.DUMMYFUNCTION("""COMPUTED_VALUE"""),118.63)</f>
        <v>118.63</v>
      </c>
      <c r="D164" s="22">
        <v>90.01</v>
      </c>
      <c r="E164" s="23">
        <v>349.27</v>
      </c>
      <c r="G164" s="21">
        <f t="shared" ca="1" si="1"/>
        <v>44792.666666666599</v>
      </c>
      <c r="H164" s="19">
        <f t="shared" ref="H164:J164" ca="1" si="162">(C164/C163) - 1</f>
        <v>-2.4745149621834939E-2</v>
      </c>
      <c r="I164" s="19">
        <f t="shared" si="162"/>
        <v>-1.8750681347432629E-2</v>
      </c>
      <c r="J164" s="17">
        <f t="shared" si="162"/>
        <v>-1.4808755500394954E-2</v>
      </c>
    </row>
    <row r="165" spans="2:10" ht="15.75" customHeight="1" x14ac:dyDescent="0.25">
      <c r="B165" s="21">
        <f ca="1">IFERROR(__xludf.DUMMYFUNCTION("""COMPUTED_VALUE"""),44795.6666666666)</f>
        <v>44795.666666666599</v>
      </c>
      <c r="C165" s="22">
        <f ca="1">IFERROR(__xludf.DUMMYFUNCTION("""COMPUTED_VALUE"""),116.67)</f>
        <v>116.67</v>
      </c>
      <c r="D165" s="22">
        <v>88.46</v>
      </c>
      <c r="E165" s="23">
        <v>342.42</v>
      </c>
      <c r="G165" s="21">
        <f t="shared" ca="1" si="1"/>
        <v>44795.666666666599</v>
      </c>
      <c r="H165" s="19">
        <f t="shared" ref="H165:J165" ca="1" si="163">(C165/C164) - 1</f>
        <v>-1.652195903228515E-2</v>
      </c>
      <c r="I165" s="19">
        <f t="shared" si="163"/>
        <v>-1.722030885457182E-2</v>
      </c>
      <c r="J165" s="17">
        <f t="shared" si="163"/>
        <v>-1.9612334297248402E-2</v>
      </c>
    </row>
    <row r="166" spans="2:10" ht="15.75" customHeight="1" x14ac:dyDescent="0.25">
      <c r="B166" s="21">
        <f ca="1">IFERROR(__xludf.DUMMYFUNCTION("""COMPUTED_VALUE"""),44796.6666666666)</f>
        <v>44796.666666666599</v>
      </c>
      <c r="C166" s="22">
        <f ca="1">IFERROR(__xludf.DUMMYFUNCTION("""COMPUTED_VALUE"""),115.52)</f>
        <v>115.52</v>
      </c>
      <c r="D166" s="22">
        <v>88.3</v>
      </c>
      <c r="E166" s="23">
        <v>340.18</v>
      </c>
      <c r="G166" s="21">
        <f t="shared" ca="1" si="1"/>
        <v>44796.666666666599</v>
      </c>
      <c r="H166" s="19">
        <f t="shared" ref="H166:J166" ca="1" si="164">(C166/C165) - 1</f>
        <v>-9.8568612325362626E-3</v>
      </c>
      <c r="I166" s="19">
        <f t="shared" si="164"/>
        <v>-1.8087271082974921E-3</v>
      </c>
      <c r="J166" s="17">
        <f t="shared" si="164"/>
        <v>-6.5416739676421587E-3</v>
      </c>
    </row>
    <row r="167" spans="2:10" ht="15.75" customHeight="1" x14ac:dyDescent="0.25">
      <c r="B167" s="21">
        <f ca="1">IFERROR(__xludf.DUMMYFUNCTION("""COMPUTED_VALUE"""),44797.6666666666)</f>
        <v>44797.666666666599</v>
      </c>
      <c r="C167" s="22">
        <f ca="1">IFERROR(__xludf.DUMMYFUNCTION("""COMPUTED_VALUE"""),115.8)</f>
        <v>115.8</v>
      </c>
      <c r="D167" s="22">
        <v>88.6</v>
      </c>
      <c r="E167" s="23">
        <v>341.94</v>
      </c>
      <c r="G167" s="21">
        <f t="shared" ca="1" si="1"/>
        <v>44797.666666666599</v>
      </c>
      <c r="H167" s="19">
        <f t="shared" ref="H167:J167" ca="1" si="165">(C167/C166) - 1</f>
        <v>2.4238227146815561E-3</v>
      </c>
      <c r="I167" s="19">
        <f t="shared" si="165"/>
        <v>3.3975084937711841E-3</v>
      </c>
      <c r="J167" s="17">
        <f t="shared" si="165"/>
        <v>5.1737315538831208E-3</v>
      </c>
    </row>
    <row r="168" spans="2:10" ht="15.75" customHeight="1" x14ac:dyDescent="0.25">
      <c r="B168" s="21">
        <f ca="1">IFERROR(__xludf.DUMMYFUNCTION("""COMPUTED_VALUE"""),44798.6666666666)</f>
        <v>44798.666666666599</v>
      </c>
      <c r="C168" s="22">
        <f ca="1">IFERROR(__xludf.DUMMYFUNCTION("""COMPUTED_VALUE"""),118.55)</f>
        <v>118.55</v>
      </c>
      <c r="D168" s="22">
        <v>89.91</v>
      </c>
      <c r="E168" s="23">
        <v>346.49</v>
      </c>
      <c r="G168" s="21">
        <f t="shared" ca="1" si="1"/>
        <v>44798.666666666599</v>
      </c>
      <c r="H168" s="19">
        <f t="shared" ref="H168:J168" ca="1" si="166">(C168/C167) - 1</f>
        <v>2.3747841105353995E-2</v>
      </c>
      <c r="I168" s="19">
        <f t="shared" si="166"/>
        <v>1.4785553047404143E-2</v>
      </c>
      <c r="J168" s="17">
        <f t="shared" si="166"/>
        <v>1.3306428028309059E-2</v>
      </c>
    </row>
    <row r="169" spans="2:10" ht="15.75" customHeight="1" x14ac:dyDescent="0.25">
      <c r="B169" s="21">
        <f ca="1">IFERROR(__xludf.DUMMYFUNCTION("""COMPUTED_VALUE"""),44799.6666666666)</f>
        <v>44799.666666666599</v>
      </c>
      <c r="C169" s="22">
        <f ca="1">IFERROR(__xludf.DUMMYFUNCTION("""COMPUTED_VALUE"""),114.67)</f>
        <v>114.67</v>
      </c>
      <c r="D169" s="22">
        <v>86.81</v>
      </c>
      <c r="E169" s="23">
        <v>336.4</v>
      </c>
      <c r="G169" s="21">
        <f t="shared" ca="1" si="1"/>
        <v>44799.666666666599</v>
      </c>
      <c r="H169" s="19">
        <f t="shared" ref="H169:J169" ca="1" si="167">(C169/C168) - 1</f>
        <v>-3.2728806410797118E-2</v>
      </c>
      <c r="I169" s="19">
        <f t="shared" si="167"/>
        <v>-3.447892336781222E-2</v>
      </c>
      <c r="J169" s="17">
        <f t="shared" si="167"/>
        <v>-2.9120609541400944E-2</v>
      </c>
    </row>
    <row r="170" spans="2:10" ht="15.75" customHeight="1" x14ac:dyDescent="0.25">
      <c r="B170" s="21">
        <f ca="1">IFERROR(__xludf.DUMMYFUNCTION("""COMPUTED_VALUE"""),44802.6666666666)</f>
        <v>44802.666666666599</v>
      </c>
      <c r="C170" s="22">
        <f ca="1">IFERROR(__xludf.DUMMYFUNCTION("""COMPUTED_VALUE"""),114.39)</f>
        <v>114.39</v>
      </c>
      <c r="D170" s="22">
        <v>85.35</v>
      </c>
      <c r="E170" s="23">
        <v>333.92</v>
      </c>
      <c r="G170" s="21">
        <f t="shared" ca="1" si="1"/>
        <v>44802.666666666599</v>
      </c>
      <c r="H170" s="19">
        <f t="shared" ref="H170:J170" ca="1" si="168">(C170/C169) - 1</f>
        <v>-2.4417894828638875E-3</v>
      </c>
      <c r="I170" s="19">
        <f t="shared" si="168"/>
        <v>-1.6818338901048335E-2</v>
      </c>
      <c r="J170" s="17">
        <f t="shared" si="168"/>
        <v>-7.3721759809749488E-3</v>
      </c>
    </row>
    <row r="171" spans="2:10" ht="15.75" customHeight="1" x14ac:dyDescent="0.25">
      <c r="B171" s="21">
        <f ca="1">IFERROR(__xludf.DUMMYFUNCTION("""COMPUTED_VALUE"""),44803.6666666666)</f>
        <v>44803.666666666599</v>
      </c>
      <c r="C171" s="22">
        <f ca="1">IFERROR(__xludf.DUMMYFUNCTION("""COMPUTED_VALUE"""),114.41)</f>
        <v>114.41</v>
      </c>
      <c r="D171" s="22">
        <v>84.43</v>
      </c>
      <c r="E171" s="23">
        <v>333.63</v>
      </c>
      <c r="G171" s="21">
        <f t="shared" ca="1" si="1"/>
        <v>44803.666666666599</v>
      </c>
      <c r="H171" s="19">
        <f t="shared" ref="H171:J171" ca="1" si="169">(C171/C170) - 1</f>
        <v>1.7484045808191517E-4</v>
      </c>
      <c r="I171" s="19">
        <f t="shared" si="169"/>
        <v>-1.0779144698300991E-2</v>
      </c>
      <c r="J171" s="17">
        <f t="shared" si="169"/>
        <v>-8.6847149017732495E-4</v>
      </c>
    </row>
    <row r="172" spans="2:10" ht="15.75" customHeight="1" x14ac:dyDescent="0.25">
      <c r="B172" s="21">
        <f ca="1">IFERROR(__xludf.DUMMYFUNCTION("""COMPUTED_VALUE"""),44804.6666666666)</f>
        <v>44804.666666666599</v>
      </c>
      <c r="C172" s="22">
        <f ca="1">IFERROR(__xludf.DUMMYFUNCTION("""COMPUTED_VALUE"""),113.73)</f>
        <v>113.73</v>
      </c>
      <c r="D172" s="22">
        <v>85.22</v>
      </c>
      <c r="E172" s="23">
        <v>332.67</v>
      </c>
      <c r="G172" s="21">
        <f t="shared" ca="1" si="1"/>
        <v>44804.666666666599</v>
      </c>
      <c r="H172" s="19">
        <f t="shared" ref="H172:J172" ca="1" si="170">(C172/C171) - 1</f>
        <v>-5.9435364041604544E-3</v>
      </c>
      <c r="I172" s="19">
        <f t="shared" si="170"/>
        <v>9.3568636740493094E-3</v>
      </c>
      <c r="J172" s="17">
        <f t="shared" si="170"/>
        <v>-2.877439079219446E-3</v>
      </c>
    </row>
    <row r="173" spans="2:10" ht="15.75" customHeight="1" x14ac:dyDescent="0.25">
      <c r="B173" s="21">
        <f ca="1">IFERROR(__xludf.DUMMYFUNCTION("""COMPUTED_VALUE"""),44805.6666666666)</f>
        <v>44805.666666666599</v>
      </c>
      <c r="C173" s="22">
        <f ca="1">IFERROR(__xludf.DUMMYFUNCTION("""COMPUTED_VALUE"""),114.51)</f>
        <v>114.51</v>
      </c>
      <c r="D173" s="22">
        <v>86.17</v>
      </c>
      <c r="E173" s="23">
        <v>333.5</v>
      </c>
      <c r="G173" s="21">
        <f t="shared" ca="1" si="1"/>
        <v>44805.666666666599</v>
      </c>
      <c r="H173" s="19">
        <f t="shared" ref="H173:J173" ca="1" si="171">(C173/C172) - 1</f>
        <v>6.8583487206541616E-3</v>
      </c>
      <c r="I173" s="19">
        <f t="shared" si="171"/>
        <v>1.1147617930063358E-2</v>
      </c>
      <c r="J173" s="17">
        <f t="shared" si="171"/>
        <v>2.4949649803107654E-3</v>
      </c>
    </row>
    <row r="174" spans="2:10" ht="15.75" customHeight="1" x14ac:dyDescent="0.25">
      <c r="B174" s="21">
        <f ca="1">IFERROR(__xludf.DUMMYFUNCTION("""COMPUTED_VALUE"""),44806.6666666666)</f>
        <v>44806.666666666599</v>
      </c>
      <c r="C174" s="22">
        <f ca="1">IFERROR(__xludf.DUMMYFUNCTION("""COMPUTED_VALUE"""),113.71)</f>
        <v>113.71</v>
      </c>
      <c r="D174" s="22">
        <v>86.4</v>
      </c>
      <c r="E174" s="23">
        <v>331.48</v>
      </c>
      <c r="G174" s="21">
        <f t="shared" ca="1" si="1"/>
        <v>44806.666666666599</v>
      </c>
      <c r="H174" s="19">
        <f t="shared" ref="H174:J174" ca="1" si="172">(C174/C173) - 1</f>
        <v>-6.9862894070388259E-3</v>
      </c>
      <c r="I174" s="19">
        <f t="shared" si="172"/>
        <v>2.6691423929441349E-3</v>
      </c>
      <c r="J174" s="17">
        <f t="shared" si="172"/>
        <v>-6.0569715142427816E-3</v>
      </c>
    </row>
    <row r="175" spans="2:10" ht="15.75" customHeight="1" x14ac:dyDescent="0.25">
      <c r="B175" s="21">
        <f ca="1">IFERROR(__xludf.DUMMYFUNCTION("""COMPUTED_VALUE"""),44810.6666666666)</f>
        <v>44810.666666666599</v>
      </c>
      <c r="C175" s="22">
        <f ca="1">IFERROR(__xludf.DUMMYFUNCTION("""COMPUTED_VALUE"""),113.74)</f>
        <v>113.74</v>
      </c>
      <c r="D175" s="22">
        <v>85.13</v>
      </c>
      <c r="E175" s="23">
        <v>326.49</v>
      </c>
      <c r="G175" s="21">
        <f t="shared" ca="1" si="1"/>
        <v>44810.666666666599</v>
      </c>
      <c r="H175" s="19">
        <f t="shared" ref="H175:J175" ca="1" si="173">(C175/C174) - 1</f>
        <v>2.6382903878285902E-4</v>
      </c>
      <c r="I175" s="19">
        <f t="shared" si="173"/>
        <v>-1.4699074074074225E-2</v>
      </c>
      <c r="J175" s="17">
        <f t="shared" si="173"/>
        <v>-1.5053698564015949E-2</v>
      </c>
    </row>
    <row r="176" spans="2:10" ht="15.75" customHeight="1" x14ac:dyDescent="0.25">
      <c r="B176" s="21">
        <f ca="1">IFERROR(__xludf.DUMMYFUNCTION("""COMPUTED_VALUE"""),44811.6666666666)</f>
        <v>44811.666666666599</v>
      </c>
      <c r="C176" s="22">
        <f ca="1">IFERROR(__xludf.DUMMYFUNCTION("""COMPUTED_VALUE"""),115.9)</f>
        <v>115.9</v>
      </c>
      <c r="D176" s="22">
        <v>86.86</v>
      </c>
      <c r="E176" s="23">
        <v>330.56</v>
      </c>
      <c r="G176" s="21">
        <f t="shared" ca="1" si="1"/>
        <v>44811.666666666599</v>
      </c>
      <c r="H176" s="19">
        <f t="shared" ref="H176:J176" ca="1" si="174">(C176/C175) - 1</f>
        <v>1.8990680499384682E-2</v>
      </c>
      <c r="I176" s="19">
        <f t="shared" si="174"/>
        <v>2.0321860683660375E-2</v>
      </c>
      <c r="J176" s="17">
        <f t="shared" si="174"/>
        <v>1.2465925449477666E-2</v>
      </c>
    </row>
    <row r="177" spans="2:10" ht="15.75" customHeight="1" x14ac:dyDescent="0.25">
      <c r="B177" s="21">
        <f ca="1">IFERROR(__xludf.DUMMYFUNCTION("""COMPUTED_VALUE"""),44812.6666666666)</f>
        <v>44812.666666666599</v>
      </c>
      <c r="C177" s="22">
        <f ca="1">IFERROR(__xludf.DUMMYFUNCTION("""COMPUTED_VALUE"""),118.6)</f>
        <v>118.6</v>
      </c>
      <c r="D177" s="22">
        <v>88.44</v>
      </c>
      <c r="E177" s="23">
        <v>335.38</v>
      </c>
      <c r="G177" s="21">
        <f t="shared" ca="1" si="1"/>
        <v>44812.666666666599</v>
      </c>
      <c r="H177" s="19">
        <f t="shared" ref="H177:J177" ca="1" si="175">(C177/C176) - 1</f>
        <v>2.3295944779982536E-2</v>
      </c>
      <c r="I177" s="19">
        <f t="shared" si="175"/>
        <v>1.8190191112134491E-2</v>
      </c>
      <c r="J177" s="17">
        <f t="shared" si="175"/>
        <v>1.4581316553726964E-2</v>
      </c>
    </row>
    <row r="178" spans="2:10" ht="15.75" customHeight="1" x14ac:dyDescent="0.25">
      <c r="B178" s="21">
        <f ca="1">IFERROR(__xludf.DUMMYFUNCTION("""COMPUTED_VALUE"""),44813.6666666666)</f>
        <v>44813.666666666599</v>
      </c>
      <c r="C178" s="22">
        <f ca="1">IFERROR(__xludf.DUMMYFUNCTION("""COMPUTED_VALUE"""),119.17)</f>
        <v>119.17</v>
      </c>
      <c r="D178" s="22">
        <v>89.46</v>
      </c>
      <c r="E178" s="23">
        <v>340.1</v>
      </c>
      <c r="G178" s="21">
        <f t="shared" ca="1" si="1"/>
        <v>44813.666666666599</v>
      </c>
      <c r="H178" s="19">
        <f t="shared" ref="H178:J178" ca="1" si="176">(C178/C177) - 1</f>
        <v>4.8060708263069074E-3</v>
      </c>
      <c r="I178" s="19">
        <f t="shared" si="176"/>
        <v>1.1533242876526462E-2</v>
      </c>
      <c r="J178" s="17">
        <f t="shared" si="176"/>
        <v>1.407358816864468E-2</v>
      </c>
    </row>
    <row r="179" spans="2:10" ht="15.75" customHeight="1" x14ac:dyDescent="0.25">
      <c r="B179" s="21">
        <f ca="1">IFERROR(__xludf.DUMMYFUNCTION("""COMPUTED_VALUE"""),44816.6666666666)</f>
        <v>44816.666666666599</v>
      </c>
      <c r="C179" s="22">
        <f ca="1">IFERROR(__xludf.DUMMYFUNCTION("""COMPUTED_VALUE"""),120.58)</f>
        <v>120.58</v>
      </c>
      <c r="D179" s="22">
        <v>90.15</v>
      </c>
      <c r="E179" s="23">
        <v>342.58</v>
      </c>
      <c r="G179" s="21">
        <f t="shared" ca="1" si="1"/>
        <v>44816.666666666599</v>
      </c>
      <c r="H179" s="19">
        <f t="shared" ref="H179:J179" ca="1" si="177">(C179/C178) - 1</f>
        <v>1.1831836871695867E-2</v>
      </c>
      <c r="I179" s="19">
        <f t="shared" si="177"/>
        <v>7.7129443326626745E-3</v>
      </c>
      <c r="J179" s="17">
        <f t="shared" si="177"/>
        <v>7.2919729491325302E-3</v>
      </c>
    </row>
    <row r="180" spans="2:10" ht="15.75" customHeight="1" x14ac:dyDescent="0.25">
      <c r="B180" s="21">
        <f ca="1">IFERROR(__xludf.DUMMYFUNCTION("""COMPUTED_VALUE"""),44817.6666666666)</f>
        <v>44817.666666666599</v>
      </c>
      <c r="C180" s="22">
        <f ca="1">IFERROR(__xludf.DUMMYFUNCTION("""COMPUTED_VALUE"""),116.39)</f>
        <v>116.39</v>
      </c>
      <c r="D180" s="22">
        <v>87.05</v>
      </c>
      <c r="E180" s="23">
        <v>328.39</v>
      </c>
      <c r="G180" s="21">
        <f t="shared" ca="1" si="1"/>
        <v>44817.666666666599</v>
      </c>
      <c r="H180" s="19">
        <f t="shared" ref="H180:J180" ca="1" si="178">(C180/C179) - 1</f>
        <v>-3.4748714546359194E-2</v>
      </c>
      <c r="I180" s="19">
        <f t="shared" si="178"/>
        <v>-3.4387132556849775E-2</v>
      </c>
      <c r="J180" s="17">
        <f t="shared" si="178"/>
        <v>-4.1420981960417991E-2</v>
      </c>
    </row>
    <row r="181" spans="2:10" ht="15.75" customHeight="1" x14ac:dyDescent="0.25">
      <c r="B181" s="21">
        <f ca="1">IFERROR(__xludf.DUMMYFUNCTION("""COMPUTED_VALUE"""),44818.6666666666)</f>
        <v>44818.666666666599</v>
      </c>
      <c r="C181" s="22">
        <f ca="1">IFERROR(__xludf.DUMMYFUNCTION("""COMPUTED_VALUE"""),116.12)</f>
        <v>116.12</v>
      </c>
      <c r="D181" s="22">
        <v>87.18</v>
      </c>
      <c r="E181" s="23">
        <v>327.26</v>
      </c>
      <c r="G181" s="21">
        <f t="shared" ca="1" si="1"/>
        <v>44818.666666666599</v>
      </c>
      <c r="H181" s="19">
        <f t="shared" ref="H181:J181" ca="1" si="179">(C181/C180) - 1</f>
        <v>-2.3197869232751689E-3</v>
      </c>
      <c r="I181" s="19">
        <f t="shared" si="179"/>
        <v>1.4933946008042209E-3</v>
      </c>
      <c r="J181" s="17">
        <f t="shared" si="179"/>
        <v>-3.4410304820488014E-3</v>
      </c>
    </row>
    <row r="182" spans="2:10" ht="15.75" customHeight="1" x14ac:dyDescent="0.25">
      <c r="B182" s="21">
        <f ca="1">IFERROR(__xludf.DUMMYFUNCTION("""COMPUTED_VALUE"""),44819.6666666666)</f>
        <v>44819.666666666599</v>
      </c>
      <c r="C182" s="22">
        <f ca="1">IFERROR(__xludf.DUMMYFUNCTION("""COMPUTED_VALUE"""),117.87)</f>
        <v>117.87</v>
      </c>
      <c r="D182" s="22">
        <v>88.26</v>
      </c>
      <c r="E182" s="23">
        <v>331.62</v>
      </c>
      <c r="G182" s="21">
        <f t="shared" ca="1" si="1"/>
        <v>44819.666666666599</v>
      </c>
      <c r="H182" s="19">
        <f t="shared" ref="H182:J182" ca="1" si="180">(C182/C181) - 1</f>
        <v>1.5070616603513498E-2</v>
      </c>
      <c r="I182" s="19">
        <f t="shared" si="180"/>
        <v>1.2388162422573901E-2</v>
      </c>
      <c r="J182" s="17">
        <f t="shared" si="180"/>
        <v>1.332274032879055E-2</v>
      </c>
    </row>
    <row r="183" spans="2:10" ht="15.75" customHeight="1" x14ac:dyDescent="0.25">
      <c r="B183" s="21">
        <f ca="1">IFERROR(__xludf.DUMMYFUNCTION("""COMPUTED_VALUE"""),44820.6666666666)</f>
        <v>44820.666666666599</v>
      </c>
      <c r="C183" s="22">
        <f ca="1">IFERROR(__xludf.DUMMYFUNCTION("""COMPUTED_VALUE"""),117.08)</f>
        <v>117.08</v>
      </c>
      <c r="D183" s="22">
        <v>87.43</v>
      </c>
      <c r="E183" s="23">
        <v>326.20999999999998</v>
      </c>
      <c r="G183" s="21">
        <f t="shared" ca="1" si="1"/>
        <v>44820.666666666599</v>
      </c>
      <c r="H183" s="19">
        <f t="shared" ref="H183:J183" ca="1" si="181">(C183/C182) - 1</f>
        <v>-6.7022991431238133E-3</v>
      </c>
      <c r="I183" s="19">
        <f t="shared" si="181"/>
        <v>-9.4040335372762573E-3</v>
      </c>
      <c r="J183" s="17">
        <f t="shared" si="181"/>
        <v>-1.6313853205476181E-2</v>
      </c>
    </row>
    <row r="184" spans="2:10" ht="15.75" customHeight="1" x14ac:dyDescent="0.25">
      <c r="B184" s="21">
        <f ca="1">IFERROR(__xludf.DUMMYFUNCTION("""COMPUTED_VALUE"""),44823.6666666666)</f>
        <v>44823.666666666599</v>
      </c>
      <c r="C184" s="22">
        <f ca="1">IFERROR(__xludf.DUMMYFUNCTION("""COMPUTED_VALUE"""),118.16)</f>
        <v>118.16</v>
      </c>
      <c r="D184" s="22">
        <v>88.72</v>
      </c>
      <c r="E184" s="23">
        <v>328.66</v>
      </c>
      <c r="G184" s="21">
        <f t="shared" ca="1" si="1"/>
        <v>44823.666666666599</v>
      </c>
      <c r="H184" s="19">
        <f t="shared" ref="H184:J184" ca="1" si="182">(C184/C183) - 1</f>
        <v>9.2244619063888145E-3</v>
      </c>
      <c r="I184" s="19">
        <f t="shared" si="182"/>
        <v>1.4754660871554304E-2</v>
      </c>
      <c r="J184" s="17">
        <f t="shared" si="182"/>
        <v>7.5104993715706669E-3</v>
      </c>
    </row>
    <row r="185" spans="2:10" ht="15.75" customHeight="1" x14ac:dyDescent="0.25">
      <c r="B185" s="21">
        <f ca="1">IFERROR(__xludf.DUMMYFUNCTION("""COMPUTED_VALUE"""),44824.6666666666)</f>
        <v>44824.666666666599</v>
      </c>
      <c r="C185" s="22">
        <f ca="1">IFERROR(__xludf.DUMMYFUNCTION("""COMPUTED_VALUE"""),115.83)</f>
        <v>115.83</v>
      </c>
      <c r="D185" s="22">
        <v>87.19</v>
      </c>
      <c r="E185" s="23">
        <v>323.26</v>
      </c>
      <c r="G185" s="21">
        <f t="shared" ca="1" si="1"/>
        <v>44824.666666666599</v>
      </c>
      <c r="H185" s="19">
        <f t="shared" ref="H185:J185" ca="1" si="183">(C185/C184) - 1</f>
        <v>-1.9719025050778605E-2</v>
      </c>
      <c r="I185" s="19">
        <f t="shared" si="183"/>
        <v>-1.724526600541032E-2</v>
      </c>
      <c r="J185" s="17">
        <f t="shared" si="183"/>
        <v>-1.6430353556867394E-2</v>
      </c>
    </row>
    <row r="186" spans="2:10" ht="15.75" customHeight="1" x14ac:dyDescent="0.25">
      <c r="B186" s="21">
        <f ca="1">IFERROR(__xludf.DUMMYFUNCTION("""COMPUTED_VALUE"""),44825.6666666666)</f>
        <v>44825.666666666599</v>
      </c>
      <c r="C186" s="22">
        <f ca="1">IFERROR(__xludf.DUMMYFUNCTION("""COMPUTED_VALUE"""),112.49)</f>
        <v>112.49</v>
      </c>
      <c r="D186" s="22">
        <v>86.36</v>
      </c>
      <c r="E186" s="23">
        <v>320.70999999999998</v>
      </c>
      <c r="G186" s="21">
        <f t="shared" ca="1" si="1"/>
        <v>44825.666666666599</v>
      </c>
      <c r="H186" s="19">
        <f t="shared" ref="H186:J186" ca="1" si="184">(C186/C185) - 1</f>
        <v>-2.8835362168695533E-2</v>
      </c>
      <c r="I186" s="19">
        <f t="shared" si="184"/>
        <v>-9.5194403027869523E-3</v>
      </c>
      <c r="J186" s="17">
        <f t="shared" si="184"/>
        <v>-7.888387056858237E-3</v>
      </c>
    </row>
    <row r="187" spans="2:10" ht="15.75" customHeight="1" x14ac:dyDescent="0.25">
      <c r="B187" s="21">
        <f ca="1">IFERROR(__xludf.DUMMYFUNCTION("""COMPUTED_VALUE"""),44826.6666666666)</f>
        <v>44826.666666666599</v>
      </c>
      <c r="C187" s="22">
        <f ca="1">IFERROR(__xludf.DUMMYFUNCTION("""COMPUTED_VALUE"""),111.21)</f>
        <v>111.21</v>
      </c>
      <c r="D187" s="22">
        <v>84.77</v>
      </c>
      <c r="E187" s="23">
        <v>312.92</v>
      </c>
      <c r="G187" s="21">
        <f t="shared" ca="1" si="1"/>
        <v>44826.666666666599</v>
      </c>
      <c r="H187" s="19">
        <f t="shared" ref="H187:J187" ca="1" si="185">(C187/C186) - 1</f>
        <v>-1.1378789225709007E-2</v>
      </c>
      <c r="I187" s="19">
        <f t="shared" si="185"/>
        <v>-1.8411301528485469E-2</v>
      </c>
      <c r="J187" s="17">
        <f t="shared" si="185"/>
        <v>-2.4289856880047256E-2</v>
      </c>
    </row>
    <row r="188" spans="2:10" ht="15.75" customHeight="1" x14ac:dyDescent="0.25">
      <c r="B188" s="21">
        <f ca="1">IFERROR(__xludf.DUMMYFUNCTION("""COMPUTED_VALUE"""),44827.6666666666)</f>
        <v>44827.666666666599</v>
      </c>
      <c r="C188" s="22">
        <f ca="1">IFERROR(__xludf.DUMMYFUNCTION("""COMPUTED_VALUE"""),109.14)</f>
        <v>109.14</v>
      </c>
      <c r="D188" s="22">
        <v>81.510000000000005</v>
      </c>
      <c r="E188" s="23">
        <v>301.97000000000003</v>
      </c>
      <c r="G188" s="21">
        <f t="shared" ca="1" si="1"/>
        <v>44827.666666666599</v>
      </c>
      <c r="H188" s="19">
        <f t="shared" ref="H188:J188" ca="1" si="186">(C188/C187) - 1</f>
        <v>-1.8613434043701083E-2</v>
      </c>
      <c r="I188" s="19">
        <f t="shared" si="186"/>
        <v>-3.8457001297628746E-2</v>
      </c>
      <c r="J188" s="17">
        <f t="shared" si="186"/>
        <v>-3.4992969449060385E-2</v>
      </c>
    </row>
    <row r="189" spans="2:10" ht="15.75" customHeight="1" x14ac:dyDescent="0.25">
      <c r="B189" s="21">
        <f ca="1">IFERROR(__xludf.DUMMYFUNCTION("""COMPUTED_VALUE"""),44830.6666666666)</f>
        <v>44830.666666666599</v>
      </c>
      <c r="C189" s="22">
        <f ca="1">IFERROR(__xludf.DUMMYFUNCTION("""COMPUTED_VALUE"""),106.79)</f>
        <v>106.79</v>
      </c>
      <c r="D189" s="22">
        <v>79.760000000000005</v>
      </c>
      <c r="E189" s="23">
        <v>294.62</v>
      </c>
      <c r="G189" s="21">
        <f t="shared" ca="1" si="1"/>
        <v>44830.666666666599</v>
      </c>
      <c r="H189" s="19">
        <f t="shared" ref="H189:J189" ca="1" si="187">(C189/C188) - 1</f>
        <v>-2.1531977276892045E-2</v>
      </c>
      <c r="I189" s="19">
        <f t="shared" si="187"/>
        <v>-2.1469758311863596E-2</v>
      </c>
      <c r="J189" s="17">
        <f t="shared" si="187"/>
        <v>-2.4340166241679673E-2</v>
      </c>
    </row>
    <row r="190" spans="2:10" ht="15.75" customHeight="1" x14ac:dyDescent="0.25">
      <c r="B190" s="21">
        <f ca="1">IFERROR(__xludf.DUMMYFUNCTION("""COMPUTED_VALUE"""),44831.6666666666)</f>
        <v>44831.666666666599</v>
      </c>
      <c r="C190" s="22">
        <f ca="1">IFERROR(__xludf.DUMMYFUNCTION("""COMPUTED_VALUE"""),105.85)</f>
        <v>105.85</v>
      </c>
      <c r="D190" s="22">
        <v>79.48</v>
      </c>
      <c r="E190" s="23">
        <v>291.38</v>
      </c>
      <c r="G190" s="21">
        <f t="shared" ca="1" si="1"/>
        <v>44831.666666666599</v>
      </c>
      <c r="H190" s="19">
        <f t="shared" ref="H190:J190" ca="1" si="188">(C190/C189) - 1</f>
        <v>-8.8023223148235852E-3</v>
      </c>
      <c r="I190" s="19">
        <f t="shared" si="188"/>
        <v>-3.5105315947843163E-3</v>
      </c>
      <c r="J190" s="17">
        <f t="shared" si="188"/>
        <v>-1.0997216753784622E-2</v>
      </c>
    </row>
    <row r="191" spans="2:10" ht="15.75" customHeight="1" x14ac:dyDescent="0.25">
      <c r="B191" s="21">
        <f ca="1">IFERROR(__xludf.DUMMYFUNCTION("""COMPUTED_VALUE"""),44832.6666666666)</f>
        <v>44832.666666666599</v>
      </c>
      <c r="C191" s="22">
        <f ca="1">IFERROR(__xludf.DUMMYFUNCTION("""COMPUTED_VALUE"""),107.99)</f>
        <v>107.99</v>
      </c>
      <c r="D191" s="22">
        <v>81.47</v>
      </c>
      <c r="E191" s="23">
        <v>300.79000000000002</v>
      </c>
      <c r="G191" s="21">
        <f t="shared" ca="1" si="1"/>
        <v>44832.666666666599</v>
      </c>
      <c r="H191" s="19">
        <f t="shared" ref="H191:J191" ca="1" si="189">(C191/C190) - 1</f>
        <v>2.0217288615965945E-2</v>
      </c>
      <c r="I191" s="19">
        <f t="shared" si="189"/>
        <v>2.5037745344740792E-2</v>
      </c>
      <c r="J191" s="17">
        <f t="shared" si="189"/>
        <v>3.2294598119294582E-2</v>
      </c>
    </row>
    <row r="192" spans="2:10" ht="15.75" customHeight="1" x14ac:dyDescent="0.25">
      <c r="B192" s="21">
        <f ca="1">IFERROR(__xludf.DUMMYFUNCTION("""COMPUTED_VALUE"""),44833.6666666666)</f>
        <v>44833.666666666599</v>
      </c>
      <c r="C192" s="22">
        <f ca="1">IFERROR(__xludf.DUMMYFUNCTION("""COMPUTED_VALUE"""),106.16)</f>
        <v>106.16</v>
      </c>
      <c r="D192" s="22">
        <v>79.86</v>
      </c>
      <c r="E192" s="23">
        <v>296.11</v>
      </c>
      <c r="G192" s="21">
        <f t="shared" ca="1" si="1"/>
        <v>44833.666666666599</v>
      </c>
      <c r="H192" s="19">
        <f t="shared" ref="H192:J192" ca="1" si="190">(C192/C191) - 1</f>
        <v>-1.694601351977032E-2</v>
      </c>
      <c r="I192" s="19">
        <f t="shared" si="190"/>
        <v>-1.9761875537007478E-2</v>
      </c>
      <c r="J192" s="17">
        <f t="shared" si="190"/>
        <v>-1.5559027893214505E-2</v>
      </c>
    </row>
    <row r="193" spans="2:10" ht="15.75" customHeight="1" x14ac:dyDescent="0.25">
      <c r="B193" s="21">
        <f ca="1">IFERROR(__xludf.DUMMYFUNCTION("""COMPUTED_VALUE"""),44834.6666666666)</f>
        <v>44834.666666666599</v>
      </c>
      <c r="C193" s="22">
        <f ca="1">IFERROR(__xludf.DUMMYFUNCTION("""COMPUTED_VALUE"""),104.5)</f>
        <v>104.5</v>
      </c>
      <c r="D193" s="22">
        <v>79.010000000000005</v>
      </c>
      <c r="E193" s="23">
        <v>293.05</v>
      </c>
      <c r="G193" s="21">
        <f t="shared" ca="1" si="1"/>
        <v>44834.666666666599</v>
      </c>
      <c r="H193" s="19">
        <f t="shared" ref="H193:J193" ca="1" si="191">(C193/C192) - 1</f>
        <v>-1.5636774679728682E-2</v>
      </c>
      <c r="I193" s="19">
        <f t="shared" si="191"/>
        <v>-1.0643626346105606E-2</v>
      </c>
      <c r="J193" s="17">
        <f t="shared" si="191"/>
        <v>-1.0333997500928671E-2</v>
      </c>
    </row>
    <row r="194" spans="2:10" ht="15.75" customHeight="1" x14ac:dyDescent="0.25">
      <c r="B194" s="21">
        <f ca="1">IFERROR(__xludf.DUMMYFUNCTION("""COMPUTED_VALUE"""),44837.6666666666)</f>
        <v>44837.666666666599</v>
      </c>
      <c r="C194" s="22">
        <f ca="1">IFERROR(__xludf.DUMMYFUNCTION("""COMPUTED_VALUE"""),107.73)</f>
        <v>107.73</v>
      </c>
      <c r="D194" s="22">
        <v>80.38</v>
      </c>
      <c r="E194" s="23">
        <v>299.14999999999998</v>
      </c>
      <c r="G194" s="21">
        <f t="shared" ca="1" si="1"/>
        <v>44837.666666666599</v>
      </c>
      <c r="H194" s="19">
        <f t="shared" ref="H194:J194" ca="1" si="192">(C194/C193) - 1</f>
        <v>3.0909090909090997E-2</v>
      </c>
      <c r="I194" s="19">
        <f t="shared" si="192"/>
        <v>1.7339577268699946E-2</v>
      </c>
      <c r="J194" s="17">
        <f t="shared" si="192"/>
        <v>2.0815560484558793E-2</v>
      </c>
    </row>
    <row r="195" spans="2:10" ht="15.75" customHeight="1" x14ac:dyDescent="0.25">
      <c r="B195" s="21">
        <f ca="1">IFERROR(__xludf.DUMMYFUNCTION("""COMPUTED_VALUE"""),44838.6666666666)</f>
        <v>44838.666666666599</v>
      </c>
      <c r="C195" s="22">
        <f ca="1">IFERROR(__xludf.DUMMYFUNCTION("""COMPUTED_VALUE"""),112.77)</f>
        <v>112.77</v>
      </c>
      <c r="D195" s="22">
        <v>83.97</v>
      </c>
      <c r="E195" s="23">
        <v>314.87</v>
      </c>
      <c r="G195" s="21">
        <f t="shared" ca="1" si="1"/>
        <v>44838.666666666599</v>
      </c>
      <c r="H195" s="19">
        <f t="shared" ref="H195:J195" ca="1" si="193">(C195/C194) - 1</f>
        <v>4.6783625730994149E-2</v>
      </c>
      <c r="I195" s="19">
        <f t="shared" si="193"/>
        <v>4.4662851455586017E-2</v>
      </c>
      <c r="J195" s="17">
        <f t="shared" si="193"/>
        <v>5.2548888517466308E-2</v>
      </c>
    </row>
    <row r="196" spans="2:10" ht="15.75" customHeight="1" x14ac:dyDescent="0.25">
      <c r="B196" s="21">
        <f ca="1">IFERROR(__xludf.DUMMYFUNCTION("""COMPUTED_VALUE"""),44839.6666666666)</f>
        <v>44839.666666666599</v>
      </c>
      <c r="C196" s="22">
        <f ca="1">IFERROR(__xludf.DUMMYFUNCTION("""COMPUTED_VALUE"""),110.39)</f>
        <v>110.39</v>
      </c>
      <c r="D196" s="22">
        <v>83.11</v>
      </c>
      <c r="E196" s="23">
        <v>309</v>
      </c>
      <c r="G196" s="21">
        <f t="shared" ca="1" si="1"/>
        <v>44839.666666666599</v>
      </c>
      <c r="H196" s="19">
        <f t="shared" ref="H196:J196" ca="1" si="194">(C196/C195) - 1</f>
        <v>-2.110490378646801E-2</v>
      </c>
      <c r="I196" s="19">
        <f t="shared" si="194"/>
        <v>-1.0241753007026344E-2</v>
      </c>
      <c r="J196" s="17">
        <f t="shared" si="194"/>
        <v>-1.8642614412297198E-2</v>
      </c>
    </row>
    <row r="197" spans="2:10" ht="15.75" customHeight="1" x14ac:dyDescent="0.25">
      <c r="B197" s="21">
        <f ca="1">IFERROR(__xludf.DUMMYFUNCTION("""COMPUTED_VALUE"""),44840.6666666666)</f>
        <v>44840.666666666599</v>
      </c>
      <c r="C197" s="22">
        <f ca="1">IFERROR(__xludf.DUMMYFUNCTION("""COMPUTED_VALUE"""),108.14)</f>
        <v>108.14</v>
      </c>
      <c r="D197" s="22">
        <v>81.31</v>
      </c>
      <c r="E197" s="23">
        <v>304.67</v>
      </c>
      <c r="G197" s="21">
        <f t="shared" ca="1" si="1"/>
        <v>44840.666666666599</v>
      </c>
      <c r="H197" s="19">
        <f t="shared" ref="H197:J197" ca="1" si="195">(C197/C196) - 1</f>
        <v>-2.0382281003714087E-2</v>
      </c>
      <c r="I197" s="19">
        <f t="shared" si="195"/>
        <v>-2.1658043556731954E-2</v>
      </c>
      <c r="J197" s="17">
        <f t="shared" si="195"/>
        <v>-1.4012944983818665E-2</v>
      </c>
    </row>
    <row r="198" spans="2:10" ht="15.75" customHeight="1" x14ac:dyDescent="0.25">
      <c r="B198" s="21">
        <f ca="1">IFERROR(__xludf.DUMMYFUNCTION("""COMPUTED_VALUE"""),44841.6666666666)</f>
        <v>44841.666666666599</v>
      </c>
      <c r="C198" s="22">
        <f ca="1">IFERROR(__xludf.DUMMYFUNCTION("""COMPUTED_VALUE"""),105.98)</f>
        <v>105.98</v>
      </c>
      <c r="D198" s="22">
        <v>78.930000000000007</v>
      </c>
      <c r="E198" s="23">
        <v>301.08</v>
      </c>
      <c r="G198" s="21">
        <f t="shared" ca="1" si="1"/>
        <v>44841.666666666599</v>
      </c>
      <c r="H198" s="19">
        <f t="shared" ref="H198:J198" ca="1" si="196">(C198/C197) - 1</f>
        <v>-1.9974107638246696E-2</v>
      </c>
      <c r="I198" s="19">
        <f t="shared" si="196"/>
        <v>-2.9270692411757393E-2</v>
      </c>
      <c r="J198" s="17">
        <f t="shared" si="196"/>
        <v>-1.1783240883579071E-2</v>
      </c>
    </row>
    <row r="199" spans="2:10" ht="15.75" customHeight="1" x14ac:dyDescent="0.25">
      <c r="B199" s="21">
        <f ca="1">IFERROR(__xludf.DUMMYFUNCTION("""COMPUTED_VALUE"""),44844.6666666666)</f>
        <v>44844.666666666599</v>
      </c>
      <c r="C199" s="22">
        <f ca="1">IFERROR(__xludf.DUMMYFUNCTION("""COMPUTED_VALUE"""),104.99)</f>
        <v>104.99</v>
      </c>
      <c r="D199" s="22">
        <v>78.41</v>
      </c>
      <c r="E199" s="23">
        <v>300.54000000000002</v>
      </c>
      <c r="G199" s="21">
        <f t="shared" ca="1" si="1"/>
        <v>44844.666666666599</v>
      </c>
      <c r="H199" s="19">
        <f t="shared" ref="H199:J199" ca="1" si="197">(C199/C198) - 1</f>
        <v>-9.3413851670127723E-3</v>
      </c>
      <c r="I199" s="19">
        <f t="shared" si="197"/>
        <v>-6.588116052198334E-3</v>
      </c>
      <c r="J199" s="17">
        <f t="shared" si="197"/>
        <v>-1.7935432443203503E-3</v>
      </c>
    </row>
    <row r="200" spans="2:10" ht="15.75" customHeight="1" x14ac:dyDescent="0.25">
      <c r="B200" s="21">
        <f ca="1">IFERROR(__xludf.DUMMYFUNCTION("""COMPUTED_VALUE"""),44845.6666666666)</f>
        <v>44845.666666666599</v>
      </c>
      <c r="C200" s="22">
        <f ca="1">IFERROR(__xludf.DUMMYFUNCTION("""COMPUTED_VALUE"""),101.96)</f>
        <v>101.96</v>
      </c>
      <c r="D200" s="22">
        <v>77</v>
      </c>
      <c r="E200" s="23">
        <v>294.20999999999998</v>
      </c>
      <c r="G200" s="21">
        <f t="shared" ca="1" si="1"/>
        <v>44845.666666666599</v>
      </c>
      <c r="H200" s="19">
        <f t="shared" ref="H200:J200" ca="1" si="198">(C200/C199) - 1</f>
        <v>-2.885989141823031E-2</v>
      </c>
      <c r="I200" s="19">
        <f t="shared" si="198"/>
        <v>-1.7982400204055615E-2</v>
      </c>
      <c r="J200" s="17">
        <f t="shared" si="198"/>
        <v>-2.1062088241166066E-2</v>
      </c>
    </row>
    <row r="201" spans="2:10" ht="15.75" customHeight="1" x14ac:dyDescent="0.25">
      <c r="B201" s="21">
        <f ca="1">IFERROR(__xludf.DUMMYFUNCTION("""COMPUTED_VALUE"""),44846.6666666666)</f>
        <v>44846.666666666599</v>
      </c>
      <c r="C201" s="22">
        <f ca="1">IFERROR(__xludf.DUMMYFUNCTION("""COMPUTED_VALUE"""),103.61)</f>
        <v>103.61</v>
      </c>
      <c r="D201" s="22">
        <v>76.599999999999994</v>
      </c>
      <c r="E201" s="23">
        <v>295.31</v>
      </c>
      <c r="G201" s="21">
        <f t="shared" ca="1" si="1"/>
        <v>44846.666666666599</v>
      </c>
      <c r="H201" s="19">
        <f t="shared" ref="H201:J201" ca="1" si="199">(C201/C200) - 1</f>
        <v>1.6182816790898391E-2</v>
      </c>
      <c r="I201" s="19">
        <f t="shared" si="199"/>
        <v>-5.1948051948053076E-3</v>
      </c>
      <c r="J201" s="17">
        <f t="shared" si="199"/>
        <v>3.7388260086332892E-3</v>
      </c>
    </row>
    <row r="202" spans="2:10" ht="15.75" customHeight="1" x14ac:dyDescent="0.25">
      <c r="B202" s="21">
        <f ca="1">IFERROR(__xludf.DUMMYFUNCTION("""COMPUTED_VALUE"""),44847.6666666666)</f>
        <v>44847.666666666599</v>
      </c>
      <c r="C202" s="22">
        <f ca="1">IFERROR(__xludf.DUMMYFUNCTION("""COMPUTED_VALUE"""),109.37)</f>
        <v>109.37</v>
      </c>
      <c r="D202" s="22">
        <v>79.319999999999993</v>
      </c>
      <c r="E202" s="23">
        <v>307.07</v>
      </c>
      <c r="G202" s="21">
        <f t="shared" ca="1" si="1"/>
        <v>44847.666666666599</v>
      </c>
      <c r="H202" s="19">
        <f t="shared" ref="H202:J202" ca="1" si="200">(C202/C201) - 1</f>
        <v>5.5593089470128421E-2</v>
      </c>
      <c r="I202" s="19">
        <f t="shared" si="200"/>
        <v>3.5509138381200955E-2</v>
      </c>
      <c r="J202" s="17">
        <f t="shared" si="200"/>
        <v>3.9822559344417696E-2</v>
      </c>
    </row>
    <row r="203" spans="2:10" ht="15.75" customHeight="1" x14ac:dyDescent="0.25">
      <c r="B203" s="21">
        <f ca="1">IFERROR(__xludf.DUMMYFUNCTION("""COMPUTED_VALUE"""),44848.6666666666)</f>
        <v>44848.666666666599</v>
      </c>
      <c r="C203" s="22">
        <f ca="1">IFERROR(__xludf.DUMMYFUNCTION("""COMPUTED_VALUE"""),111.19)</f>
        <v>111.19</v>
      </c>
      <c r="D203" s="22">
        <v>75.3</v>
      </c>
      <c r="E203" s="23">
        <v>299.99</v>
      </c>
      <c r="G203" s="21">
        <f t="shared" ca="1" si="1"/>
        <v>44848.666666666599</v>
      </c>
      <c r="H203" s="19">
        <f t="shared" ref="H203:J203" ca="1" si="201">(C203/C202) - 1</f>
        <v>1.6640760720489922E-2</v>
      </c>
      <c r="I203" s="19">
        <f t="shared" si="201"/>
        <v>-5.0680786686838064E-2</v>
      </c>
      <c r="J203" s="17">
        <f t="shared" si="201"/>
        <v>-2.3056632038297442E-2</v>
      </c>
    </row>
    <row r="204" spans="2:10" ht="15.75" customHeight="1" x14ac:dyDescent="0.25">
      <c r="B204" s="21">
        <f ca="1">IFERROR(__xludf.DUMMYFUNCTION("""COMPUTED_VALUE"""),44851.6666666666)</f>
        <v>44851.666666666599</v>
      </c>
      <c r="C204" s="22">
        <f ca="1">IFERROR(__xludf.DUMMYFUNCTION("""COMPUTED_VALUE"""),115.86)</f>
        <v>115.86</v>
      </c>
      <c r="D204" s="22">
        <v>77.14</v>
      </c>
      <c r="E204" s="23">
        <v>306.70999999999998</v>
      </c>
      <c r="G204" s="21">
        <f t="shared" ca="1" si="1"/>
        <v>44851.666666666599</v>
      </c>
      <c r="H204" s="19">
        <f t="shared" ref="H204:J204" ca="1" si="202">(C204/C203) - 1</f>
        <v>4.2000179872290655E-2</v>
      </c>
      <c r="I204" s="19">
        <f t="shared" si="202"/>
        <v>2.4435590969455578E-2</v>
      </c>
      <c r="J204" s="17">
        <f t="shared" si="202"/>
        <v>2.2400746691556339E-2</v>
      </c>
    </row>
    <row r="205" spans="2:10" ht="15.75" customHeight="1" x14ac:dyDescent="0.25">
      <c r="B205" s="21">
        <f ca="1">IFERROR(__xludf.DUMMYFUNCTION("""COMPUTED_VALUE"""),44852.6666666666)</f>
        <v>44852.666666666599</v>
      </c>
      <c r="C205" s="22">
        <f ca="1">IFERROR(__xludf.DUMMYFUNCTION("""COMPUTED_VALUE"""),118.84)</f>
        <v>118.84</v>
      </c>
      <c r="D205" s="22">
        <v>79.44</v>
      </c>
      <c r="E205" s="23">
        <v>313.85000000000002</v>
      </c>
      <c r="G205" s="21">
        <f t="shared" ca="1" si="1"/>
        <v>44852.666666666599</v>
      </c>
      <c r="H205" s="19">
        <f t="shared" ref="H205:J205" ca="1" si="203">(C205/C204) - 1</f>
        <v>2.5720697393405878E-2</v>
      </c>
      <c r="I205" s="19">
        <f t="shared" si="203"/>
        <v>2.9815919108115096E-2</v>
      </c>
      <c r="J205" s="17">
        <f t="shared" si="203"/>
        <v>2.3279319226631179E-2</v>
      </c>
    </row>
    <row r="206" spans="2:10" ht="15.75" customHeight="1" x14ac:dyDescent="0.25">
      <c r="B206" s="21">
        <f ca="1">IFERROR(__xludf.DUMMYFUNCTION("""COMPUTED_VALUE"""),44853.6666666666)</f>
        <v>44853.666666666599</v>
      </c>
      <c r="C206" s="22">
        <f ca="1">IFERROR(__xludf.DUMMYFUNCTION("""COMPUTED_VALUE"""),116.51)</f>
        <v>116.51</v>
      </c>
      <c r="D206" s="22">
        <v>77.64</v>
      </c>
      <c r="E206" s="23">
        <v>311.76</v>
      </c>
      <c r="G206" s="21">
        <f t="shared" ca="1" si="1"/>
        <v>44853.666666666599</v>
      </c>
      <c r="H206" s="19">
        <f t="shared" ref="H206:J206" ca="1" si="204">(C206/C205) - 1</f>
        <v>-1.9606193200942479E-2</v>
      </c>
      <c r="I206" s="19">
        <f t="shared" si="204"/>
        <v>-2.2658610271903301E-2</v>
      </c>
      <c r="J206" s="17">
        <f t="shared" si="204"/>
        <v>-6.6592321172536106E-3</v>
      </c>
    </row>
    <row r="207" spans="2:10" ht="15.75" customHeight="1" x14ac:dyDescent="0.25">
      <c r="B207" s="21">
        <f ca="1">IFERROR(__xludf.DUMMYFUNCTION("""COMPUTED_VALUE"""),44854.6666666666)</f>
        <v>44854.666666666599</v>
      </c>
      <c r="C207" s="22">
        <f ca="1">IFERROR(__xludf.DUMMYFUNCTION("""COMPUTED_VALUE"""),116.13)</f>
        <v>116.13</v>
      </c>
      <c r="D207" s="22">
        <v>76.599999999999994</v>
      </c>
      <c r="E207" s="23">
        <v>310.81</v>
      </c>
      <c r="G207" s="21">
        <f t="shared" ca="1" si="1"/>
        <v>44854.666666666599</v>
      </c>
      <c r="H207" s="19">
        <f t="shared" ref="H207:J207" ca="1" si="205">(C207/C206) - 1</f>
        <v>-3.2615226160845889E-3</v>
      </c>
      <c r="I207" s="19">
        <f t="shared" si="205"/>
        <v>-1.3395157135497215E-2</v>
      </c>
      <c r="J207" s="17">
        <f t="shared" si="205"/>
        <v>-3.0472158070310451E-3</v>
      </c>
    </row>
    <row r="208" spans="2:10" ht="15.75" customHeight="1" x14ac:dyDescent="0.25">
      <c r="B208" s="21">
        <f ca="1">IFERROR(__xludf.DUMMYFUNCTION("""COMPUTED_VALUE"""),44855.6666666666)</f>
        <v>44855.666666666599</v>
      </c>
      <c r="C208" s="22">
        <f ca="1">IFERROR(__xludf.DUMMYFUNCTION("""COMPUTED_VALUE"""),122.23)</f>
        <v>122.23</v>
      </c>
      <c r="D208" s="22">
        <v>79.22</v>
      </c>
      <c r="E208" s="23">
        <v>325.10000000000002</v>
      </c>
      <c r="G208" s="21">
        <f t="shared" ca="1" si="1"/>
        <v>44855.666666666599</v>
      </c>
      <c r="H208" s="19">
        <f t="shared" ref="H208:J208" ca="1" si="206">(C208/C207) - 1</f>
        <v>5.2527340049944193E-2</v>
      </c>
      <c r="I208" s="19">
        <f t="shared" si="206"/>
        <v>3.4203655352480489E-2</v>
      </c>
      <c r="J208" s="17">
        <f t="shared" si="206"/>
        <v>4.5976641678195707E-2</v>
      </c>
    </row>
    <row r="209" spans="2:10" ht="15.75" customHeight="1" x14ac:dyDescent="0.25">
      <c r="B209" s="21">
        <f ca="1">IFERROR(__xludf.DUMMYFUNCTION("""COMPUTED_VALUE"""),44858.6666666666)</f>
        <v>44858.666666666599</v>
      </c>
      <c r="C209" s="22">
        <f ca="1">IFERROR(__xludf.DUMMYFUNCTION("""COMPUTED_VALUE"""),122.38)</f>
        <v>122.38</v>
      </c>
      <c r="D209" s="22">
        <v>79.430000000000007</v>
      </c>
      <c r="E209" s="23">
        <v>328.7</v>
      </c>
      <c r="G209" s="21">
        <f t="shared" ca="1" si="1"/>
        <v>44858.666666666599</v>
      </c>
      <c r="H209" s="19">
        <f t="shared" ref="H209:J209" ca="1" si="207">(C209/C208) - 1</f>
        <v>1.2271946330686401E-3</v>
      </c>
      <c r="I209" s="19">
        <f t="shared" si="207"/>
        <v>2.6508457460239221E-3</v>
      </c>
      <c r="J209" s="17">
        <f t="shared" si="207"/>
        <v>1.107351584127958E-2</v>
      </c>
    </row>
    <row r="210" spans="2:10" ht="15.75" customHeight="1" x14ac:dyDescent="0.25">
      <c r="B210" s="21">
        <f ca="1">IFERROR(__xludf.DUMMYFUNCTION("""COMPUTED_VALUE"""),44859.6666666666)</f>
        <v>44859.666666666599</v>
      </c>
      <c r="C210" s="22">
        <f ca="1">IFERROR(__xludf.DUMMYFUNCTION("""COMPUTED_VALUE"""),122.7)</f>
        <v>122.7</v>
      </c>
      <c r="D210" s="22">
        <v>80.510000000000005</v>
      </c>
      <c r="E210" s="23">
        <v>332.4</v>
      </c>
      <c r="G210" s="21">
        <f t="shared" ca="1" si="1"/>
        <v>44859.666666666599</v>
      </c>
      <c r="H210" s="19">
        <f t="shared" ref="H210:J210" ca="1" si="208">(C210/C209) - 1</f>
        <v>2.6148063409054956E-3</v>
      </c>
      <c r="I210" s="19">
        <f t="shared" si="208"/>
        <v>1.3596877753997205E-2</v>
      </c>
      <c r="J210" s="17">
        <f t="shared" si="208"/>
        <v>1.1256464861575832E-2</v>
      </c>
    </row>
    <row r="211" spans="2:10" ht="15.75" customHeight="1" x14ac:dyDescent="0.25">
      <c r="B211" s="21">
        <f ca="1">IFERROR(__xludf.DUMMYFUNCTION("""COMPUTED_VALUE"""),44860.6666666666)</f>
        <v>44860.666666666599</v>
      </c>
      <c r="C211" s="22">
        <f ca="1">IFERROR(__xludf.DUMMYFUNCTION("""COMPUTED_VALUE"""),124.11)</f>
        <v>124.11</v>
      </c>
      <c r="D211" s="22">
        <v>80.91</v>
      </c>
      <c r="E211" s="23">
        <v>335.69</v>
      </c>
      <c r="G211" s="21">
        <f t="shared" ca="1" si="1"/>
        <v>44860.666666666599</v>
      </c>
      <c r="H211" s="19">
        <f t="shared" ref="H211:J211" ca="1" si="209">(C211/C210) - 1</f>
        <v>1.1491442542787222E-2</v>
      </c>
      <c r="I211" s="19">
        <f t="shared" si="209"/>
        <v>4.9683269159108701E-3</v>
      </c>
      <c r="J211" s="17">
        <f t="shared" si="209"/>
        <v>9.8977135980746755E-3</v>
      </c>
    </row>
    <row r="212" spans="2:10" ht="15.75" customHeight="1" x14ac:dyDescent="0.25">
      <c r="B212" s="21">
        <f ca="1">IFERROR(__xludf.DUMMYFUNCTION("""COMPUTED_VALUE"""),44861.6666666666)</f>
        <v>44861.666666666599</v>
      </c>
      <c r="C212" s="22">
        <f ca="1">IFERROR(__xludf.DUMMYFUNCTION("""COMPUTED_VALUE"""),124.6)</f>
        <v>124.6</v>
      </c>
      <c r="D212" s="22">
        <v>80.69</v>
      </c>
      <c r="E212" s="23">
        <v>337.18</v>
      </c>
      <c r="G212" s="21">
        <f t="shared" ca="1" si="1"/>
        <v>44861.666666666599</v>
      </c>
      <c r="H212" s="19">
        <f t="shared" ref="H212:J212" ca="1" si="210">(C212/C211) - 1</f>
        <v>3.9481105470953182E-3</v>
      </c>
      <c r="I212" s="19">
        <f t="shared" si="210"/>
        <v>-2.7190705722407449E-3</v>
      </c>
      <c r="J212" s="17">
        <f t="shared" si="210"/>
        <v>4.4386189639251672E-3</v>
      </c>
    </row>
    <row r="213" spans="2:10" ht="15.75" customHeight="1" x14ac:dyDescent="0.25">
      <c r="B213" s="21">
        <f ca="1">IFERROR(__xludf.DUMMYFUNCTION("""COMPUTED_VALUE"""),44862.6666666666)</f>
        <v>44862.666666666599</v>
      </c>
      <c r="C213" s="22">
        <f ca="1">IFERROR(__xludf.DUMMYFUNCTION("""COMPUTED_VALUE"""),126.08)</f>
        <v>126.08</v>
      </c>
      <c r="D213" s="22">
        <v>82.22</v>
      </c>
      <c r="E213" s="23">
        <v>341.82</v>
      </c>
      <c r="G213" s="21">
        <f t="shared" ca="1" si="1"/>
        <v>44862.666666666599</v>
      </c>
      <c r="H213" s="19">
        <f t="shared" ref="H213:J213" ca="1" si="211">(C213/C212) - 1</f>
        <v>1.1878009630818642E-2</v>
      </c>
      <c r="I213" s="19">
        <f t="shared" si="211"/>
        <v>1.8961457429669037E-2</v>
      </c>
      <c r="J213" s="17">
        <f t="shared" si="211"/>
        <v>1.3761195800462644E-2</v>
      </c>
    </row>
    <row r="214" spans="2:10" ht="15.75" customHeight="1" x14ac:dyDescent="0.25">
      <c r="B214" s="21">
        <f ca="1">IFERROR(__xludf.DUMMYFUNCTION("""COMPUTED_VALUE"""),44865.6666666666)</f>
        <v>44865.666666666599</v>
      </c>
      <c r="C214" s="22">
        <f ca="1">IFERROR(__xludf.DUMMYFUNCTION("""COMPUTED_VALUE"""),125.88)</f>
        <v>125.88</v>
      </c>
      <c r="D214" s="22">
        <v>82.17</v>
      </c>
      <c r="E214" s="23">
        <v>344.51</v>
      </c>
      <c r="G214" s="21">
        <f t="shared" ca="1" si="1"/>
        <v>44865.666666666599</v>
      </c>
      <c r="H214" s="19">
        <f t="shared" ref="H214:J214" ca="1" si="212">(C214/C213) - 1</f>
        <v>-1.5862944162436943E-3</v>
      </c>
      <c r="I214" s="19">
        <f t="shared" si="212"/>
        <v>-6.0812454390657411E-4</v>
      </c>
      <c r="J214" s="17">
        <f t="shared" si="212"/>
        <v>7.8696389912820131E-3</v>
      </c>
    </row>
    <row r="215" spans="2:10" ht="15.75" customHeight="1" x14ac:dyDescent="0.25">
      <c r="B215" s="21">
        <f ca="1">IFERROR(__xludf.DUMMYFUNCTION("""COMPUTED_VALUE"""),44866.6666666666)</f>
        <v>44866.666666666599</v>
      </c>
      <c r="C215" s="22">
        <f ca="1">IFERROR(__xludf.DUMMYFUNCTION("""COMPUTED_VALUE"""),128.15)</f>
        <v>128.15</v>
      </c>
      <c r="D215" s="22">
        <v>83.72</v>
      </c>
      <c r="E215" s="23">
        <v>348.58</v>
      </c>
      <c r="G215" s="21">
        <f t="shared" ca="1" si="1"/>
        <v>44866.666666666599</v>
      </c>
      <c r="H215" s="19">
        <f t="shared" ref="H215:J215" ca="1" si="213">(C215/C214) - 1</f>
        <v>1.8033047346679432E-2</v>
      </c>
      <c r="I215" s="19">
        <f t="shared" si="213"/>
        <v>1.8863332116344056E-2</v>
      </c>
      <c r="J215" s="17">
        <f t="shared" si="213"/>
        <v>1.1813880584017777E-2</v>
      </c>
    </row>
    <row r="216" spans="2:10" ht="15.75" customHeight="1" x14ac:dyDescent="0.25">
      <c r="B216" s="21">
        <f ca="1">IFERROR(__xludf.DUMMYFUNCTION("""COMPUTED_VALUE"""),44867.6666666666)</f>
        <v>44867.666666666599</v>
      </c>
      <c r="C216" s="22">
        <f ca="1">IFERROR(__xludf.DUMMYFUNCTION("""COMPUTED_VALUE"""),126.97)</f>
        <v>126.97</v>
      </c>
      <c r="D216" s="22">
        <v>84.37</v>
      </c>
      <c r="E216" s="23">
        <v>349.79</v>
      </c>
      <c r="G216" s="21">
        <f t="shared" ca="1" si="1"/>
        <v>44867.666666666599</v>
      </c>
      <c r="H216" s="19">
        <f t="shared" ref="H216:J216" ca="1" si="214">(C216/C215) - 1</f>
        <v>-9.2079594225517036E-3</v>
      </c>
      <c r="I216" s="19">
        <f t="shared" si="214"/>
        <v>7.763975155279601E-3</v>
      </c>
      <c r="J216" s="17">
        <f t="shared" si="214"/>
        <v>3.4712261173905912E-3</v>
      </c>
    </row>
    <row r="217" spans="2:10" ht="15.75" customHeight="1" x14ac:dyDescent="0.25">
      <c r="B217" s="21">
        <f ca="1">IFERROR(__xludf.DUMMYFUNCTION("""COMPUTED_VALUE"""),44868.6666666666)</f>
        <v>44868.666666666599</v>
      </c>
      <c r="C217" s="22">
        <f ca="1">IFERROR(__xludf.DUMMYFUNCTION("""COMPUTED_VALUE"""),127.2)</f>
        <v>127.2</v>
      </c>
      <c r="D217" s="22">
        <v>83.62</v>
      </c>
      <c r="E217" s="23">
        <v>348.87</v>
      </c>
      <c r="G217" s="21">
        <f t="shared" ca="1" si="1"/>
        <v>44868.666666666599</v>
      </c>
      <c r="H217" s="19">
        <f t="shared" ref="H217:J217" ca="1" si="215">(C217/C216) - 1</f>
        <v>1.8114515239819884E-3</v>
      </c>
      <c r="I217" s="19">
        <f t="shared" si="215"/>
        <v>-8.889415669076639E-3</v>
      </c>
      <c r="J217" s="17">
        <f t="shared" si="215"/>
        <v>-2.630149518282443E-3</v>
      </c>
    </row>
    <row r="218" spans="2:10" ht="15.75" customHeight="1" x14ac:dyDescent="0.25">
      <c r="B218" s="21">
        <f ca="1">IFERROR(__xludf.DUMMYFUNCTION("""COMPUTED_VALUE"""),44869.6666666666)</f>
        <v>44869.666666666599</v>
      </c>
      <c r="C218" s="22">
        <f ca="1">IFERROR(__xludf.DUMMYFUNCTION("""COMPUTED_VALUE"""),130.68)</f>
        <v>130.68</v>
      </c>
      <c r="D218" s="22">
        <v>84.85</v>
      </c>
      <c r="E218" s="23">
        <v>357.91</v>
      </c>
      <c r="G218" s="21">
        <f t="shared" ca="1" si="1"/>
        <v>44869.666666666599</v>
      </c>
      <c r="H218" s="19">
        <f t="shared" ref="H218:J218" ca="1" si="216">(C218/C217) - 1</f>
        <v>2.7358490566037785E-2</v>
      </c>
      <c r="I218" s="19">
        <f t="shared" si="216"/>
        <v>1.4709399665151723E-2</v>
      </c>
      <c r="J218" s="17">
        <f t="shared" si="216"/>
        <v>2.5912230916960599E-2</v>
      </c>
    </row>
    <row r="219" spans="2:10" ht="15.75" customHeight="1" x14ac:dyDescent="0.25">
      <c r="B219" s="21">
        <f ca="1">IFERROR(__xludf.DUMMYFUNCTION("""COMPUTED_VALUE"""),44872.6666666666)</f>
        <v>44872.666666666599</v>
      </c>
      <c r="C219" s="22">
        <f ca="1">IFERROR(__xludf.DUMMYFUNCTION("""COMPUTED_VALUE"""),131.37)</f>
        <v>131.37</v>
      </c>
      <c r="D219" s="22">
        <v>85.57</v>
      </c>
      <c r="E219" s="23">
        <v>362.56</v>
      </c>
      <c r="G219" s="21">
        <f t="shared" ca="1" si="1"/>
        <v>44872.666666666599</v>
      </c>
      <c r="H219" s="19">
        <f t="shared" ref="H219:J219" ca="1" si="217">(C219/C218) - 1</f>
        <v>5.2800734618916323E-3</v>
      </c>
      <c r="I219" s="19">
        <f t="shared" si="217"/>
        <v>8.4855627578079851E-3</v>
      </c>
      <c r="J219" s="17">
        <f t="shared" si="217"/>
        <v>1.2992092984269732E-2</v>
      </c>
    </row>
    <row r="220" spans="2:10" ht="15.75" customHeight="1" x14ac:dyDescent="0.25">
      <c r="B220" s="21">
        <f ca="1">IFERROR(__xludf.DUMMYFUNCTION("""COMPUTED_VALUE"""),44873.6666666666)</f>
        <v>44873.666666666599</v>
      </c>
      <c r="C220" s="22">
        <f ca="1">IFERROR(__xludf.DUMMYFUNCTION("""COMPUTED_VALUE"""),131.45)</f>
        <v>131.44999999999999</v>
      </c>
      <c r="D220" s="22">
        <v>85.28</v>
      </c>
      <c r="E220" s="23">
        <v>364.02</v>
      </c>
      <c r="G220" s="21">
        <f t="shared" ca="1" si="1"/>
        <v>44873.666666666599</v>
      </c>
      <c r="H220" s="19">
        <f t="shared" ref="H220:J220" ca="1" si="218">(C220/C219) - 1</f>
        <v>6.089670396589586E-4</v>
      </c>
      <c r="I220" s="19">
        <f t="shared" si="218"/>
        <v>-3.3890382143273445E-3</v>
      </c>
      <c r="J220" s="17">
        <f t="shared" si="218"/>
        <v>4.0269196822593223E-3</v>
      </c>
    </row>
    <row r="221" spans="2:10" ht="15.75" customHeight="1" x14ac:dyDescent="0.25">
      <c r="B221" s="21">
        <f ca="1">IFERROR(__xludf.DUMMYFUNCTION("""COMPUTED_VALUE"""),44874.6666666666)</f>
        <v>44874.666666666599</v>
      </c>
      <c r="C221" s="22">
        <f ca="1">IFERROR(__xludf.DUMMYFUNCTION("""COMPUTED_VALUE"""),129.74)</f>
        <v>129.74</v>
      </c>
      <c r="D221" s="22">
        <v>83.45</v>
      </c>
      <c r="E221" s="23">
        <v>362</v>
      </c>
      <c r="G221" s="21">
        <f t="shared" ca="1" si="1"/>
        <v>44874.666666666599</v>
      </c>
      <c r="H221" s="19">
        <f t="shared" ref="H221:J221" ca="1" si="219">(C221/C220) - 1</f>
        <v>-1.3008748573602014E-2</v>
      </c>
      <c r="I221" s="19">
        <f t="shared" si="219"/>
        <v>-2.1458724202626622E-2</v>
      </c>
      <c r="J221" s="17">
        <f t="shared" si="219"/>
        <v>-5.5491456513377946E-3</v>
      </c>
    </row>
    <row r="222" spans="2:10" ht="15.75" customHeight="1" x14ac:dyDescent="0.25">
      <c r="B222" s="21">
        <f ca="1">IFERROR(__xludf.DUMMYFUNCTION("""COMPUTED_VALUE"""),44875.6666666666)</f>
        <v>44875.666666666599</v>
      </c>
      <c r="C222" s="22">
        <f ca="1">IFERROR(__xludf.DUMMYFUNCTION("""COMPUTED_VALUE"""),135.08)</f>
        <v>135.08000000000001</v>
      </c>
      <c r="D222" s="22">
        <v>88.8</v>
      </c>
      <c r="E222" s="23">
        <v>378.31</v>
      </c>
      <c r="G222" s="21">
        <f t="shared" ca="1" si="1"/>
        <v>44875.666666666599</v>
      </c>
      <c r="H222" s="19">
        <f t="shared" ref="H222:J222" ca="1" si="220">(C222/C221) - 1</f>
        <v>4.1159241560043247E-2</v>
      </c>
      <c r="I222" s="19">
        <f t="shared" si="220"/>
        <v>6.4110245656081366E-2</v>
      </c>
      <c r="J222" s="17">
        <f t="shared" si="220"/>
        <v>4.5055248618784516E-2</v>
      </c>
    </row>
    <row r="223" spans="2:10" ht="15.75" customHeight="1" x14ac:dyDescent="0.25">
      <c r="B223" s="21">
        <f ca="1">IFERROR(__xludf.DUMMYFUNCTION("""COMPUTED_VALUE"""),44876.6666666666)</f>
        <v>44876.666666666599</v>
      </c>
      <c r="C223" s="22">
        <f ca="1">IFERROR(__xludf.DUMMYFUNCTION("""COMPUTED_VALUE"""),135.3)</f>
        <v>135.30000000000001</v>
      </c>
      <c r="D223" s="22">
        <v>90.78</v>
      </c>
      <c r="E223" s="23">
        <v>385.17</v>
      </c>
      <c r="G223" s="21">
        <f t="shared" ca="1" si="1"/>
        <v>44876.666666666599</v>
      </c>
      <c r="H223" s="19">
        <f t="shared" ref="H223:J223" ca="1" si="221">(C223/C222) - 1</f>
        <v>1.6286644951140072E-3</v>
      </c>
      <c r="I223" s="19">
        <f t="shared" si="221"/>
        <v>2.2297297297297236E-2</v>
      </c>
      <c r="J223" s="17">
        <f t="shared" si="221"/>
        <v>1.8133276942190246E-2</v>
      </c>
    </row>
    <row r="224" spans="2:10" ht="15.75" customHeight="1" x14ac:dyDescent="0.25">
      <c r="B224" s="21">
        <f ca="1">IFERROR(__xludf.DUMMYFUNCTION("""COMPUTED_VALUE"""),44879.6666666666)</f>
        <v>44879.666666666599</v>
      </c>
      <c r="C224" s="22">
        <f ca="1">IFERROR(__xludf.DUMMYFUNCTION("""COMPUTED_VALUE"""),133.91)</f>
        <v>133.91</v>
      </c>
      <c r="D224" s="22">
        <v>89.81</v>
      </c>
      <c r="E224" s="23">
        <v>382.36</v>
      </c>
      <c r="G224" s="21">
        <f t="shared" ca="1" si="1"/>
        <v>44879.666666666599</v>
      </c>
      <c r="H224" s="19">
        <f t="shared" ref="H224:J224" ca="1" si="222">(C224/C223) - 1</f>
        <v>-1.027346637102744E-2</v>
      </c>
      <c r="I224" s="19">
        <f t="shared" si="222"/>
        <v>-1.0685172945582688E-2</v>
      </c>
      <c r="J224" s="17">
        <f t="shared" si="222"/>
        <v>-7.2954799179583141E-3</v>
      </c>
    </row>
    <row r="225" spans="2:10" ht="15.75" customHeight="1" x14ac:dyDescent="0.25">
      <c r="B225" s="21">
        <f ca="1">IFERROR(__xludf.DUMMYFUNCTION("""COMPUTED_VALUE"""),44880.6666666666)</f>
        <v>44880.666666666599</v>
      </c>
      <c r="C225" s="22">
        <f ca="1">IFERROR(__xludf.DUMMYFUNCTION("""COMPUTED_VALUE"""),132.94)</f>
        <v>132.94</v>
      </c>
      <c r="D225" s="22">
        <v>90.5</v>
      </c>
      <c r="E225" s="23">
        <v>382.88</v>
      </c>
      <c r="G225" s="21">
        <f t="shared" ca="1" si="1"/>
        <v>44880.666666666599</v>
      </c>
      <c r="H225" s="19">
        <f t="shared" ref="H225:J225" ca="1" si="223">(C225/C224) - 1</f>
        <v>-7.2436711223956562E-3</v>
      </c>
      <c r="I225" s="19">
        <f t="shared" si="223"/>
        <v>7.6828860928626064E-3</v>
      </c>
      <c r="J225" s="17">
        <f t="shared" si="223"/>
        <v>1.3599748927710653E-3</v>
      </c>
    </row>
    <row r="226" spans="2:10" ht="15.75" customHeight="1" x14ac:dyDescent="0.25">
      <c r="B226" s="21">
        <f ca="1">IFERROR(__xludf.DUMMYFUNCTION("""COMPUTED_VALUE"""),44881.6666666666)</f>
        <v>44881.666666666599</v>
      </c>
      <c r="C226" s="22">
        <f ca="1">IFERROR(__xludf.DUMMYFUNCTION("""COMPUTED_VALUE"""),133.12)</f>
        <v>133.12</v>
      </c>
      <c r="D226" s="22">
        <v>89.82</v>
      </c>
      <c r="E226" s="23">
        <v>382.33</v>
      </c>
      <c r="G226" s="21">
        <f t="shared" ca="1" si="1"/>
        <v>44881.666666666599</v>
      </c>
      <c r="H226" s="19">
        <f t="shared" ref="H226:J226" ca="1" si="224">(C226/C225) - 1</f>
        <v>1.353994283135318E-3</v>
      </c>
      <c r="I226" s="19">
        <f t="shared" si="224"/>
        <v>-7.5138121546961534E-3</v>
      </c>
      <c r="J226" s="17">
        <f t="shared" si="224"/>
        <v>-1.4364814040953577E-3</v>
      </c>
    </row>
    <row r="227" spans="2:10" ht="15.75" customHeight="1" x14ac:dyDescent="0.25">
      <c r="B227" s="21">
        <f ca="1">IFERROR(__xludf.DUMMYFUNCTION("""COMPUTED_VALUE"""),44882.6666666666)</f>
        <v>44882.666666666599</v>
      </c>
      <c r="C227" s="22">
        <f ca="1">IFERROR(__xludf.DUMMYFUNCTION("""COMPUTED_VALUE"""),132.54)</f>
        <v>132.54</v>
      </c>
      <c r="D227" s="22">
        <v>88.95</v>
      </c>
      <c r="E227" s="23">
        <v>379.78</v>
      </c>
      <c r="G227" s="21">
        <f t="shared" ca="1" si="1"/>
        <v>44882.666666666599</v>
      </c>
      <c r="H227" s="19">
        <f t="shared" ref="H227:J227" ca="1" si="225">(C227/C226) - 1</f>
        <v>-4.3569711538462563E-3</v>
      </c>
      <c r="I227" s="19">
        <f t="shared" si="225"/>
        <v>-9.6860387441548568E-3</v>
      </c>
      <c r="J227" s="17">
        <f t="shared" si="225"/>
        <v>-6.6696309470876125E-3</v>
      </c>
    </row>
    <row r="228" spans="2:10" ht="15.75" customHeight="1" x14ac:dyDescent="0.25">
      <c r="B228" s="21">
        <f ca="1">IFERROR(__xludf.DUMMYFUNCTION("""COMPUTED_VALUE"""),44883.6666666666)</f>
        <v>44883.666666666599</v>
      </c>
      <c r="C228" s="22">
        <f ca="1">IFERROR(__xludf.DUMMYFUNCTION("""COMPUTED_VALUE"""),133.84)</f>
        <v>133.84</v>
      </c>
      <c r="D228" s="22">
        <v>89.2</v>
      </c>
      <c r="E228" s="23">
        <v>379.2</v>
      </c>
      <c r="G228" s="21">
        <f t="shared" ca="1" si="1"/>
        <v>44883.666666666599</v>
      </c>
      <c r="H228" s="19">
        <f t="shared" ref="H228:J228" ca="1" si="226">(C228/C227) - 1</f>
        <v>9.8083597404559075E-3</v>
      </c>
      <c r="I228" s="19">
        <f t="shared" si="226"/>
        <v>2.8105677346823565E-3</v>
      </c>
      <c r="J228" s="17">
        <f t="shared" si="226"/>
        <v>-1.5271999578703177E-3</v>
      </c>
    </row>
    <row r="229" spans="2:10" ht="15.75" customHeight="1" x14ac:dyDescent="0.25">
      <c r="B229" s="21">
        <f ca="1">IFERROR(__xludf.DUMMYFUNCTION("""COMPUTED_VALUE"""),44886.6666666666)</f>
        <v>44886.666666666599</v>
      </c>
      <c r="C229" s="22">
        <f ca="1">IFERROR(__xludf.DUMMYFUNCTION("""COMPUTED_VALUE"""),133.05)</f>
        <v>133.05000000000001</v>
      </c>
      <c r="D229" s="22">
        <v>89.08</v>
      </c>
      <c r="E229" s="23">
        <v>380.21</v>
      </c>
      <c r="G229" s="21">
        <f t="shared" ca="1" si="1"/>
        <v>44886.666666666599</v>
      </c>
      <c r="H229" s="19">
        <f t="shared" ref="H229:J229" ca="1" si="227">(C229/C228) - 1</f>
        <v>-5.902570233114135E-3</v>
      </c>
      <c r="I229" s="19">
        <f t="shared" si="227"/>
        <v>-1.3452914798206539E-3</v>
      </c>
      <c r="J229" s="17">
        <f t="shared" si="227"/>
        <v>2.663502109704563E-3</v>
      </c>
    </row>
    <row r="230" spans="2:10" ht="15.75" customHeight="1" x14ac:dyDescent="0.25">
      <c r="B230" s="21">
        <f ca="1">IFERROR(__xludf.DUMMYFUNCTION("""COMPUTED_VALUE"""),44887.6666666666)</f>
        <v>44887.666666666599</v>
      </c>
      <c r="C230" s="22">
        <f ca="1">IFERROR(__xludf.DUMMYFUNCTION("""COMPUTED_VALUE"""),135.04)</f>
        <v>135.04</v>
      </c>
      <c r="D230" s="22">
        <v>89.67</v>
      </c>
      <c r="E230" s="23">
        <v>383.87</v>
      </c>
      <c r="G230" s="21">
        <f t="shared" ca="1" si="1"/>
        <v>44887.666666666599</v>
      </c>
      <c r="H230" s="19">
        <f t="shared" ref="H230:J230" ca="1" si="228">(C230/C229) - 1</f>
        <v>1.4956783164223886E-2</v>
      </c>
      <c r="I230" s="19">
        <f t="shared" si="228"/>
        <v>6.6232599910194256E-3</v>
      </c>
      <c r="J230" s="17">
        <f t="shared" si="228"/>
        <v>9.6262591725626567E-3</v>
      </c>
    </row>
    <row r="231" spans="2:10" ht="15.75" customHeight="1" x14ac:dyDescent="0.25">
      <c r="B231" s="21">
        <f ca="1">IFERROR(__xludf.DUMMYFUNCTION("""COMPUTED_VALUE"""),44888.6666666666)</f>
        <v>44888.666666666599</v>
      </c>
      <c r="C231" s="22">
        <f ca="1">IFERROR(__xludf.DUMMYFUNCTION("""COMPUTED_VALUE"""),136.48)</f>
        <v>136.47999999999999</v>
      </c>
      <c r="D231" s="22">
        <v>89.93</v>
      </c>
      <c r="E231" s="23">
        <v>386.25</v>
      </c>
      <c r="G231" s="21">
        <f t="shared" ca="1" si="1"/>
        <v>44888.666666666599</v>
      </c>
      <c r="H231" s="19">
        <f t="shared" ref="H231:J231" ca="1" si="229">(C231/C230) - 1</f>
        <v>1.0663507109004655E-2</v>
      </c>
      <c r="I231" s="19">
        <f t="shared" si="229"/>
        <v>2.8995204639232774E-3</v>
      </c>
      <c r="J231" s="17">
        <f t="shared" si="229"/>
        <v>6.2000156302914888E-3</v>
      </c>
    </row>
    <row r="232" spans="2:10" ht="15.75" customHeight="1" x14ac:dyDescent="0.25">
      <c r="B232" s="21">
        <f ca="1">IFERROR(__xludf.DUMMYFUNCTION("""COMPUTED_VALUE"""),44890.5416666666)</f>
        <v>44890.541666666599</v>
      </c>
      <c r="C232" s="22">
        <f ca="1">IFERROR(__xludf.DUMMYFUNCTION("""COMPUTED_VALUE"""),136.74)</f>
        <v>136.74</v>
      </c>
      <c r="D232" s="22">
        <v>90.91</v>
      </c>
      <c r="E232" s="23">
        <v>388.86</v>
      </c>
      <c r="G232" s="21">
        <f t="shared" ca="1" si="1"/>
        <v>44890.541666666599</v>
      </c>
      <c r="H232" s="19">
        <f t="shared" ref="H232:J232" ca="1" si="230">(C232/C231) - 1</f>
        <v>1.9050410316532318E-3</v>
      </c>
      <c r="I232" s="19">
        <f t="shared" si="230"/>
        <v>1.0897364616924143E-2</v>
      </c>
      <c r="J232" s="17">
        <f t="shared" si="230"/>
        <v>6.7572815533980535E-3</v>
      </c>
    </row>
    <row r="233" spans="2:10" ht="15.75" customHeight="1" x14ac:dyDescent="0.25">
      <c r="B233" s="21">
        <f ca="1">IFERROR(__xludf.DUMMYFUNCTION("""COMPUTED_VALUE"""),44893.6666666666)</f>
        <v>44893.666666666599</v>
      </c>
      <c r="C233" s="22">
        <f ca="1">IFERROR(__xludf.DUMMYFUNCTION("""COMPUTED_VALUE"""),134.35)</f>
        <v>134.35</v>
      </c>
      <c r="D233" s="22">
        <v>89.89</v>
      </c>
      <c r="E233" s="23">
        <v>382.36</v>
      </c>
      <c r="G233" s="21">
        <f t="shared" ca="1" si="1"/>
        <v>44893.666666666599</v>
      </c>
      <c r="H233" s="19">
        <f t="shared" ref="H233:J233" ca="1" si="231">(C233/C232) - 1</f>
        <v>-1.7478426210326248E-2</v>
      </c>
      <c r="I233" s="19">
        <f t="shared" si="231"/>
        <v>-1.1219887801121931E-2</v>
      </c>
      <c r="J233" s="17">
        <f t="shared" si="231"/>
        <v>-1.6715527439181144E-2</v>
      </c>
    </row>
    <row r="234" spans="2:10" ht="15.75" customHeight="1" x14ac:dyDescent="0.25">
      <c r="B234" s="21">
        <f ca="1">IFERROR(__xludf.DUMMYFUNCTION("""COMPUTED_VALUE"""),44894.6666666666)</f>
        <v>44894.666666666599</v>
      </c>
      <c r="C234" s="22">
        <f ca="1">IFERROR(__xludf.DUMMYFUNCTION("""COMPUTED_VALUE"""),136.56)</f>
        <v>136.56</v>
      </c>
      <c r="D234" s="22">
        <v>91.08</v>
      </c>
      <c r="E234" s="23">
        <v>383.71</v>
      </c>
      <c r="G234" s="21">
        <f t="shared" ca="1" si="1"/>
        <v>44894.666666666599</v>
      </c>
      <c r="H234" s="19">
        <f t="shared" ref="H234:J234" ca="1" si="232">(C234/C233) - 1</f>
        <v>1.6449572013397917E-2</v>
      </c>
      <c r="I234" s="19">
        <f t="shared" si="232"/>
        <v>1.3238402491934531E-2</v>
      </c>
      <c r="J234" s="17">
        <f t="shared" si="232"/>
        <v>3.5307040485406116E-3</v>
      </c>
    </row>
    <row r="235" spans="2:10" ht="15.75" customHeight="1" x14ac:dyDescent="0.25">
      <c r="B235" s="21">
        <f ca="1">IFERROR(__xludf.DUMMYFUNCTION("""COMPUTED_VALUE"""),44895.6666666666)</f>
        <v>44895.666666666599</v>
      </c>
      <c r="C235" s="22">
        <f ca="1">IFERROR(__xludf.DUMMYFUNCTION("""COMPUTED_VALUE"""),138.18)</f>
        <v>138.18</v>
      </c>
      <c r="D235" s="22">
        <v>93.07</v>
      </c>
      <c r="E235" s="23">
        <v>386.15</v>
      </c>
      <c r="G235" s="21">
        <f t="shared" ca="1" si="1"/>
        <v>44895.666666666599</v>
      </c>
      <c r="H235" s="19">
        <f t="shared" ref="H235:J235" ca="1" si="233">(C235/C234) - 1</f>
        <v>1.1862917398945516E-2</v>
      </c>
      <c r="I235" s="19">
        <f t="shared" si="233"/>
        <v>2.1848924022837002E-2</v>
      </c>
      <c r="J235" s="17">
        <f t="shared" si="233"/>
        <v>6.35896901305677E-3</v>
      </c>
    </row>
    <row r="236" spans="2:10" ht="15.75" customHeight="1" x14ac:dyDescent="0.25">
      <c r="B236" s="21">
        <f ca="1">IFERROR(__xludf.DUMMYFUNCTION("""COMPUTED_VALUE"""),44896.6666666666)</f>
        <v>44896.666666666599</v>
      </c>
      <c r="C236" s="22">
        <f ca="1">IFERROR(__xludf.DUMMYFUNCTION("""COMPUTED_VALUE"""),136.24)</f>
        <v>136.24</v>
      </c>
      <c r="D236" s="22">
        <v>93</v>
      </c>
      <c r="E236" s="23">
        <v>383.81</v>
      </c>
      <c r="G236" s="21">
        <f t="shared" ca="1" si="1"/>
        <v>44896.666666666599</v>
      </c>
      <c r="H236" s="19">
        <f t="shared" ref="H236:J236" ca="1" si="234">(C236/C235) - 1</f>
        <v>-1.4039658416558076E-2</v>
      </c>
      <c r="I236" s="19">
        <f t="shared" si="234"/>
        <v>-7.521220586654831E-4</v>
      </c>
      <c r="J236" s="17">
        <f t="shared" si="234"/>
        <v>-6.0598213129612333E-3</v>
      </c>
    </row>
    <row r="237" spans="2:10" ht="15.75" customHeight="1" x14ac:dyDescent="0.25">
      <c r="B237" s="21">
        <f ca="1">IFERROR(__xludf.DUMMYFUNCTION("""COMPUTED_VALUE"""),44897.6666666666)</f>
        <v>44897.666666666599</v>
      </c>
      <c r="C237" s="22">
        <f ca="1">IFERROR(__xludf.DUMMYFUNCTION("""COMPUTED_VALUE"""),135.16)</f>
        <v>135.16</v>
      </c>
      <c r="D237" s="22">
        <v>92.1</v>
      </c>
      <c r="E237" s="23">
        <v>380.58</v>
      </c>
      <c r="G237" s="21">
        <f t="shared" ca="1" si="1"/>
        <v>44897.666666666599</v>
      </c>
      <c r="H237" s="19">
        <f t="shared" ref="H237:J237" ca="1" si="235">(C237/C236) - 1</f>
        <v>-7.9271873165004392E-3</v>
      </c>
      <c r="I237" s="19">
        <f t="shared" si="235"/>
        <v>-9.6774193548387899E-3</v>
      </c>
      <c r="J237" s="17">
        <f t="shared" si="235"/>
        <v>-8.4156223131237606E-3</v>
      </c>
    </row>
    <row r="238" spans="2:10" ht="15.75" customHeight="1" x14ac:dyDescent="0.25">
      <c r="B238" s="21">
        <f ca="1">IFERROR(__xludf.DUMMYFUNCTION("""COMPUTED_VALUE"""),44900.6666666666)</f>
        <v>44900.666666666599</v>
      </c>
      <c r="C238" s="22">
        <f ca="1">IFERROR(__xludf.DUMMYFUNCTION("""COMPUTED_VALUE"""),131.37)</f>
        <v>131.37</v>
      </c>
      <c r="D238" s="22">
        <v>89.81</v>
      </c>
      <c r="E238" s="23">
        <v>371.54</v>
      </c>
      <c r="G238" s="21">
        <f t="shared" ca="1" si="1"/>
        <v>44900.666666666599</v>
      </c>
      <c r="H238" s="19">
        <f t="shared" ref="H238:J238" ca="1" si="236">(C238/C237) - 1</f>
        <v>-2.8040840485350604E-2</v>
      </c>
      <c r="I238" s="19">
        <f t="shared" si="236"/>
        <v>-2.4864277958740466E-2</v>
      </c>
      <c r="J238" s="17">
        <f t="shared" si="236"/>
        <v>-2.375321877134895E-2</v>
      </c>
    </row>
    <row r="239" spans="2:10" ht="15.75" customHeight="1" x14ac:dyDescent="0.25">
      <c r="B239" s="21">
        <f ca="1">IFERROR(__xludf.DUMMYFUNCTION("""COMPUTED_VALUE"""),44901.6666666666)</f>
        <v>44901.666666666599</v>
      </c>
      <c r="C239" s="22">
        <f ca="1">IFERROR(__xludf.DUMMYFUNCTION("""COMPUTED_VALUE"""),131.59)</f>
        <v>131.59</v>
      </c>
      <c r="D239" s="22">
        <v>87.51</v>
      </c>
      <c r="E239" s="23">
        <v>362.91</v>
      </c>
      <c r="G239" s="21">
        <f t="shared" ca="1" si="1"/>
        <v>44901.666666666599</v>
      </c>
      <c r="H239" s="19">
        <f t="shared" ref="H239:J239" ca="1" si="237">(C239/C238) - 1</f>
        <v>1.6746593590621917E-3</v>
      </c>
      <c r="I239" s="19">
        <f t="shared" si="237"/>
        <v>-2.560962030954228E-2</v>
      </c>
      <c r="J239" s="17">
        <f t="shared" si="237"/>
        <v>-2.322764709048819E-2</v>
      </c>
    </row>
    <row r="240" spans="2:10" ht="15.75" customHeight="1" x14ac:dyDescent="0.25">
      <c r="B240" s="21">
        <f ca="1">IFERROR(__xludf.DUMMYFUNCTION("""COMPUTED_VALUE"""),44902.6666666666)</f>
        <v>44902.666666666599</v>
      </c>
      <c r="C240" s="22">
        <f ca="1">IFERROR(__xludf.DUMMYFUNCTION("""COMPUTED_VALUE"""),131.5)</f>
        <v>131.5</v>
      </c>
      <c r="D240" s="22">
        <v>87.28</v>
      </c>
      <c r="E240" s="23">
        <v>359.92</v>
      </c>
      <c r="G240" s="21">
        <f t="shared" ca="1" si="1"/>
        <v>44902.666666666599</v>
      </c>
      <c r="H240" s="19">
        <f t="shared" ref="H240:J240" ca="1" si="238">(C240/C239) - 1</f>
        <v>-6.839425488259776E-4</v>
      </c>
      <c r="I240" s="19">
        <f t="shared" si="238"/>
        <v>-2.6282710547366195E-3</v>
      </c>
      <c r="J240" s="17">
        <f t="shared" si="238"/>
        <v>-8.2389573172412245E-3</v>
      </c>
    </row>
    <row r="241" spans="2:10" ht="15.75" customHeight="1" x14ac:dyDescent="0.25">
      <c r="B241" s="21">
        <f ca="1">IFERROR(__xludf.DUMMYFUNCTION("""COMPUTED_VALUE"""),44903.6666666666)</f>
        <v>44903.666666666599</v>
      </c>
      <c r="C241" s="22">
        <f ca="1">IFERROR(__xludf.DUMMYFUNCTION("""COMPUTED_VALUE"""),132.88)</f>
        <v>132.88</v>
      </c>
      <c r="D241" s="22">
        <v>88.69</v>
      </c>
      <c r="E241" s="23">
        <v>358.08</v>
      </c>
      <c r="G241" s="21">
        <f t="shared" ca="1" si="1"/>
        <v>44903.666666666599</v>
      </c>
      <c r="H241" s="19">
        <f t="shared" ref="H241:J241" ca="1" si="239">(C241/C240) - 1</f>
        <v>1.0494296577946649E-2</v>
      </c>
      <c r="I241" s="19">
        <f t="shared" si="239"/>
        <v>1.61549037580202E-2</v>
      </c>
      <c r="J241" s="17">
        <f t="shared" si="239"/>
        <v>-5.1122471660369762E-3</v>
      </c>
    </row>
    <row r="242" spans="2:10" ht="15.75" customHeight="1" x14ac:dyDescent="0.25">
      <c r="B242" s="21">
        <f ca="1">IFERROR(__xludf.DUMMYFUNCTION("""COMPUTED_VALUE"""),44904.6666666666)</f>
        <v>44904.666666666599</v>
      </c>
      <c r="C242" s="22">
        <f ca="1">IFERROR(__xludf.DUMMYFUNCTION("""COMPUTED_VALUE"""),132.16)</f>
        <v>132.16</v>
      </c>
      <c r="D242" s="22">
        <v>89.47</v>
      </c>
      <c r="E242" s="23">
        <v>359.14</v>
      </c>
      <c r="G242" s="21">
        <f t="shared" ca="1" si="1"/>
        <v>44904.666666666599</v>
      </c>
      <c r="H242" s="19">
        <f t="shared" ref="H242:J242" ca="1" si="240">(C242/C241) - 1</f>
        <v>-5.4184226369656807E-3</v>
      </c>
      <c r="I242" s="19">
        <f t="shared" si="240"/>
        <v>8.7946780922314449E-3</v>
      </c>
      <c r="J242" s="17">
        <f t="shared" si="240"/>
        <v>2.9602323503128414E-3</v>
      </c>
    </row>
    <row r="243" spans="2:10" ht="15.75" customHeight="1" x14ac:dyDescent="0.25">
      <c r="B243" s="21">
        <f ca="1">IFERROR(__xludf.DUMMYFUNCTION("""COMPUTED_VALUE"""),44907.6666666666)</f>
        <v>44907.666666666599</v>
      </c>
      <c r="C243" s="22">
        <f ca="1">IFERROR(__xludf.DUMMYFUNCTION("""COMPUTED_VALUE"""),134.21)</f>
        <v>134.21</v>
      </c>
      <c r="D243" s="22">
        <v>91.12</v>
      </c>
      <c r="E243" s="23">
        <v>363.18</v>
      </c>
      <c r="G243" s="21">
        <f t="shared" ca="1" si="1"/>
        <v>44907.666666666599</v>
      </c>
      <c r="H243" s="19">
        <f t="shared" ref="H243:J243" ca="1" si="241">(C243/C242) - 1</f>
        <v>1.5511501210653922E-2</v>
      </c>
      <c r="I243" s="19">
        <f t="shared" si="241"/>
        <v>1.8441935844417223E-2</v>
      </c>
      <c r="J243" s="17">
        <f t="shared" si="241"/>
        <v>1.1249095060422265E-2</v>
      </c>
    </row>
    <row r="244" spans="2:10" ht="15.75" customHeight="1" x14ac:dyDescent="0.25">
      <c r="B244" s="21">
        <f ca="1">IFERROR(__xludf.DUMMYFUNCTION("""COMPUTED_VALUE"""),44908.6666666666)</f>
        <v>44908.666666666599</v>
      </c>
      <c r="C244" s="22">
        <f ca="1">IFERROR(__xludf.DUMMYFUNCTION("""COMPUTED_VALUE"""),134.08)</f>
        <v>134.08000000000001</v>
      </c>
      <c r="D244" s="22">
        <v>92.71</v>
      </c>
      <c r="E244" s="23">
        <v>368.69</v>
      </c>
      <c r="G244" s="21">
        <f t="shared" ca="1" si="1"/>
        <v>44908.666666666599</v>
      </c>
      <c r="H244" s="19">
        <f t="shared" ref="H244:J244" ca="1" si="242">(C244/C243) - 1</f>
        <v>-9.686312495342797E-4</v>
      </c>
      <c r="I244" s="19">
        <f t="shared" si="242"/>
        <v>1.7449517120280866E-2</v>
      </c>
      <c r="J244" s="17">
        <f t="shared" si="242"/>
        <v>1.5171540283055229E-2</v>
      </c>
    </row>
    <row r="245" spans="2:10" ht="15.75" customHeight="1" x14ac:dyDescent="0.25">
      <c r="B245" s="21">
        <f ca="1">IFERROR(__xludf.DUMMYFUNCTION("""COMPUTED_VALUE"""),44909.6666666666)</f>
        <v>44909.666666666599</v>
      </c>
      <c r="C245" s="22">
        <f ca="1">IFERROR(__xludf.DUMMYFUNCTION("""COMPUTED_VALUE"""),133.41)</f>
        <v>133.41</v>
      </c>
      <c r="D245" s="22">
        <v>90.5</v>
      </c>
      <c r="E245" s="23">
        <v>360.38</v>
      </c>
      <c r="G245" s="21">
        <f t="shared" ca="1" si="1"/>
        <v>44909.666666666599</v>
      </c>
      <c r="H245" s="19">
        <f t="shared" ref="H245:J245" ca="1" si="243">(C245/C244) - 1</f>
        <v>-4.9970167064440352E-3</v>
      </c>
      <c r="I245" s="19">
        <f t="shared" si="243"/>
        <v>-2.3837773702944598E-2</v>
      </c>
      <c r="J245" s="17">
        <f t="shared" si="243"/>
        <v>-2.2539260625457747E-2</v>
      </c>
    </row>
    <row r="246" spans="2:10" ht="15.75" customHeight="1" x14ac:dyDescent="0.25">
      <c r="B246" s="21">
        <f ca="1">IFERROR(__xludf.DUMMYFUNCTION("""COMPUTED_VALUE"""),44910.6666666666)</f>
        <v>44910.666666666599</v>
      </c>
      <c r="C246" s="22">
        <f ca="1">IFERROR(__xludf.DUMMYFUNCTION("""COMPUTED_VALUE"""),130.1)</f>
        <v>130.1</v>
      </c>
      <c r="D246" s="22">
        <v>87.79</v>
      </c>
      <c r="E246" s="23">
        <v>349.83</v>
      </c>
      <c r="G246" s="21">
        <f t="shared" ca="1" si="1"/>
        <v>44910.666666666599</v>
      </c>
      <c r="H246" s="19">
        <f t="shared" ref="H246:J246" ca="1" si="244">(C246/C245) - 1</f>
        <v>-2.4810733828048881E-2</v>
      </c>
      <c r="I246" s="19">
        <f t="shared" si="244"/>
        <v>-2.994475138121544E-2</v>
      </c>
      <c r="J246" s="17">
        <f t="shared" si="244"/>
        <v>-2.9274654531328048E-2</v>
      </c>
    </row>
    <row r="247" spans="2:10" ht="15.75" customHeight="1" x14ac:dyDescent="0.25">
      <c r="B247" s="21">
        <f ca="1">IFERROR(__xludf.DUMMYFUNCTION("""COMPUTED_VALUE"""),44911.6666666666)</f>
        <v>44911.666666666599</v>
      </c>
      <c r="C247" s="22">
        <f ca="1">IFERROR(__xludf.DUMMYFUNCTION("""COMPUTED_VALUE"""),129.29)</f>
        <v>129.29</v>
      </c>
      <c r="D247" s="22">
        <v>86.86</v>
      </c>
      <c r="E247" s="23">
        <v>346.35</v>
      </c>
      <c r="G247" s="21">
        <f t="shared" ca="1" si="1"/>
        <v>44911.666666666599</v>
      </c>
      <c r="H247" s="19">
        <f t="shared" ref="H247:J247" ca="1" si="245">(C247/C246) - 1</f>
        <v>-6.2259800153727785E-3</v>
      </c>
      <c r="I247" s="19">
        <f t="shared" si="245"/>
        <v>-1.0593461669894166E-2</v>
      </c>
      <c r="J247" s="17">
        <f t="shared" si="245"/>
        <v>-9.9476888774546746E-3</v>
      </c>
    </row>
    <row r="248" spans="2:10" ht="15.75" customHeight="1" x14ac:dyDescent="0.25">
      <c r="B248" s="21">
        <f ca="1">IFERROR(__xludf.DUMMYFUNCTION("""COMPUTED_VALUE"""),44914.6666666666)</f>
        <v>44914.666666666599</v>
      </c>
      <c r="C248" s="22">
        <f ca="1">IFERROR(__xludf.DUMMYFUNCTION("""COMPUTED_VALUE"""),130.06)</f>
        <v>130.06</v>
      </c>
      <c r="D248" s="22">
        <v>85.55</v>
      </c>
      <c r="E248" s="23">
        <v>344.61</v>
      </c>
      <c r="G248" s="21">
        <f t="shared" ca="1" si="1"/>
        <v>44914.666666666599</v>
      </c>
      <c r="H248" s="19">
        <f t="shared" ref="H248:J248" ca="1" si="246">(C248/C247) - 1</f>
        <v>5.9556036816459379E-3</v>
      </c>
      <c r="I248" s="19">
        <f t="shared" si="246"/>
        <v>-1.5081740732212801E-2</v>
      </c>
      <c r="J248" s="17">
        <f t="shared" si="246"/>
        <v>-5.0238198354266572E-3</v>
      </c>
    </row>
    <row r="249" spans="2:10" ht="15.75" customHeight="1" x14ac:dyDescent="0.25">
      <c r="B249" s="21">
        <f ca="1">IFERROR(__xludf.DUMMYFUNCTION("""COMPUTED_VALUE"""),44915.6666666666)</f>
        <v>44915.666666666599</v>
      </c>
      <c r="C249" s="22">
        <f ca="1">IFERROR(__xludf.DUMMYFUNCTION("""COMPUTED_VALUE"""),130.69)</f>
        <v>130.69</v>
      </c>
      <c r="D249" s="22">
        <v>85.16</v>
      </c>
      <c r="E249" s="23">
        <v>344.49</v>
      </c>
      <c r="G249" s="21">
        <f t="shared" ca="1" si="1"/>
        <v>44915.666666666599</v>
      </c>
      <c r="H249" s="19">
        <f t="shared" ref="H249:J249" ca="1" si="247">(C249/C248) - 1</f>
        <v>4.843918191603791E-3</v>
      </c>
      <c r="I249" s="19">
        <f t="shared" si="247"/>
        <v>-4.5587375803624042E-3</v>
      </c>
      <c r="J249" s="17">
        <f t="shared" si="247"/>
        <v>-3.482197266475584E-4</v>
      </c>
    </row>
    <row r="250" spans="2:10" ht="15.75" customHeight="1" x14ac:dyDescent="0.25">
      <c r="B250" s="21">
        <f ca="1">IFERROR(__xludf.DUMMYFUNCTION("""COMPUTED_VALUE"""),44916.6666666666)</f>
        <v>44916.666666666599</v>
      </c>
      <c r="C250" s="22">
        <f ca="1">IFERROR(__xludf.DUMMYFUNCTION("""COMPUTED_VALUE"""),132.16)</f>
        <v>132.16</v>
      </c>
      <c r="D250" s="22">
        <v>86.87</v>
      </c>
      <c r="E250" s="23">
        <v>350.16</v>
      </c>
      <c r="G250" s="21">
        <f t="shared" ca="1" si="1"/>
        <v>44916.666666666599</v>
      </c>
      <c r="H250" s="19">
        <f t="shared" ref="H250:J250" ca="1" si="248">(C250/C249) - 1</f>
        <v>1.12479914301018E-2</v>
      </c>
      <c r="I250" s="19">
        <f t="shared" si="248"/>
        <v>2.0079849694692342E-2</v>
      </c>
      <c r="J250" s="17">
        <f t="shared" si="248"/>
        <v>1.6459113472089282E-2</v>
      </c>
    </row>
    <row r="251" spans="2:10" ht="15.75" customHeight="1" x14ac:dyDescent="0.25">
      <c r="B251" s="21">
        <f ca="1">IFERROR(__xludf.DUMMYFUNCTION("""COMPUTED_VALUE"""),44917.6666666666)</f>
        <v>44917.666666666599</v>
      </c>
      <c r="C251" s="22">
        <f ca="1">IFERROR(__xludf.DUMMYFUNCTION("""COMPUTED_VALUE"""),130.66)</f>
        <v>130.66</v>
      </c>
      <c r="D251" s="22">
        <v>86.37</v>
      </c>
      <c r="E251" s="23">
        <v>345.58</v>
      </c>
      <c r="G251" s="21">
        <f t="shared" ca="1" si="1"/>
        <v>44917.666666666599</v>
      </c>
      <c r="H251" s="19">
        <f t="shared" ref="H251:J251" ca="1" si="249">(C251/C250) - 1</f>
        <v>-1.1349878934624691E-2</v>
      </c>
      <c r="I251" s="19">
        <f t="shared" si="249"/>
        <v>-5.7557269483136109E-3</v>
      </c>
      <c r="J251" s="17">
        <f t="shared" si="249"/>
        <v>-1.3079734978295732E-2</v>
      </c>
    </row>
    <row r="252" spans="2:10" ht="15.75" customHeight="1" x14ac:dyDescent="0.25">
      <c r="B252" s="21">
        <f ca="1">IFERROR(__xludf.DUMMYFUNCTION("""COMPUTED_VALUE"""),44918.6666666666)</f>
        <v>44918.666666666599</v>
      </c>
      <c r="C252" s="22">
        <f ca="1">IFERROR(__xludf.DUMMYFUNCTION("""COMPUTED_VALUE"""),131.28)</f>
        <v>131.28</v>
      </c>
      <c r="D252" s="22">
        <v>86.11</v>
      </c>
      <c r="E252" s="23">
        <v>345.51</v>
      </c>
      <c r="G252" s="21">
        <f t="shared" ca="1" si="1"/>
        <v>44918.666666666599</v>
      </c>
      <c r="H252" s="19">
        <f t="shared" ref="H252:J252" ca="1" si="250">(C252/C251) - 1</f>
        <v>4.7451400581661751E-3</v>
      </c>
      <c r="I252" s="19">
        <f t="shared" si="250"/>
        <v>-3.0103045038787357E-3</v>
      </c>
      <c r="J252" s="17">
        <f t="shared" si="250"/>
        <v>-2.0255801840385335E-4</v>
      </c>
    </row>
    <row r="253" spans="2:10" ht="15.75" customHeight="1" x14ac:dyDescent="0.25">
      <c r="B253" s="21">
        <f ca="1">IFERROR(__xludf.DUMMYFUNCTION("""COMPUTED_VALUE"""),44922.6666666666)</f>
        <v>44922.666666666599</v>
      </c>
      <c r="C253" s="22">
        <f ca="1">IFERROR(__xludf.DUMMYFUNCTION("""COMPUTED_VALUE"""),131.74)</f>
        <v>131.74</v>
      </c>
      <c r="D253" s="22">
        <v>85.06</v>
      </c>
      <c r="E253" s="23">
        <v>341.97</v>
      </c>
      <c r="G253" s="21">
        <f t="shared" ca="1" si="1"/>
        <v>44922.666666666599</v>
      </c>
      <c r="H253" s="19">
        <f t="shared" ref="H253:J253" ca="1" si="251">(C253/C252) - 1</f>
        <v>3.503960999390765E-3</v>
      </c>
      <c r="I253" s="19">
        <f t="shared" si="251"/>
        <v>-1.2193705725235149E-2</v>
      </c>
      <c r="J253" s="17">
        <f t="shared" si="251"/>
        <v>-1.0245723712772326E-2</v>
      </c>
    </row>
    <row r="254" spans="2:10" ht="15.75" customHeight="1" x14ac:dyDescent="0.25">
      <c r="B254" s="21">
        <f ca="1">IFERROR(__xludf.DUMMYFUNCTION("""COMPUTED_VALUE"""),44923.6666666666)</f>
        <v>44923.666666666599</v>
      </c>
      <c r="C254" s="22">
        <f ca="1">IFERROR(__xludf.DUMMYFUNCTION("""COMPUTED_VALUE"""),132.46)</f>
        <v>132.46</v>
      </c>
      <c r="D254" s="22">
        <v>84.46</v>
      </c>
      <c r="E254" s="23">
        <v>340.87</v>
      </c>
      <c r="G254" s="21">
        <f t="shared" ca="1" si="1"/>
        <v>44923.666666666599</v>
      </c>
      <c r="H254" s="19">
        <f t="shared" ref="H254:J254" ca="1" si="252">(C254/C253) - 1</f>
        <v>5.4653104599968749E-3</v>
      </c>
      <c r="I254" s="19">
        <f t="shared" si="252"/>
        <v>-7.0538443451682031E-3</v>
      </c>
      <c r="J254" s="17">
        <f t="shared" si="252"/>
        <v>-3.2166564318507618E-3</v>
      </c>
    </row>
    <row r="255" spans="2:10" ht="15.75" customHeight="1" x14ac:dyDescent="0.25">
      <c r="B255" s="21">
        <f ca="1">IFERROR(__xludf.DUMMYFUNCTION("""COMPUTED_VALUE"""),44924.6666666666)</f>
        <v>44924.666666666599</v>
      </c>
      <c r="C255" s="22">
        <f ca="1">IFERROR(__xludf.DUMMYFUNCTION("""COMPUTED_VALUE"""),133.22)</f>
        <v>133.22</v>
      </c>
      <c r="D255" s="22">
        <v>85.24</v>
      </c>
      <c r="E255" s="23">
        <v>343.43</v>
      </c>
      <c r="G255" s="21">
        <f t="shared" ca="1" si="1"/>
        <v>44924.666666666599</v>
      </c>
      <c r="H255" s="19">
        <f t="shared" ref="H255:J255" ca="1" si="253">(C255/C254) - 1</f>
        <v>5.7375811565754109E-3</v>
      </c>
      <c r="I255" s="19">
        <f t="shared" si="253"/>
        <v>9.2351408950983593E-3</v>
      </c>
      <c r="J255" s="17">
        <f t="shared" si="253"/>
        <v>7.510194502302836E-3</v>
      </c>
    </row>
    <row r="256" spans="2:10" ht="15.75" customHeight="1" x14ac:dyDescent="0.25">
      <c r="B256" s="21">
        <f ca="1">IFERROR(__xludf.DUMMYFUNCTION("""COMPUTED_VALUE"""),44925.6666666666)</f>
        <v>44925.666666666599</v>
      </c>
      <c r="C256" s="22">
        <f ca="1">IFERROR(__xludf.DUMMYFUNCTION("""COMPUTED_VALUE"""),134.1)</f>
        <v>134.1</v>
      </c>
      <c r="D256" s="22">
        <v>85.02</v>
      </c>
      <c r="E256" s="23">
        <v>343.38</v>
      </c>
      <c r="G256" s="21">
        <f t="shared" ca="1" si="1"/>
        <v>44925.666666666599</v>
      </c>
      <c r="H256" s="19">
        <f t="shared" ref="H256:J256" ca="1" si="254">(C256/C255) - 1</f>
        <v>6.6056147725566117E-3</v>
      </c>
      <c r="I256" s="19">
        <f t="shared" si="254"/>
        <v>-2.5809479117785417E-3</v>
      </c>
      <c r="J256" s="17">
        <f t="shared" si="254"/>
        <v>-1.4559007658043743E-4</v>
      </c>
    </row>
    <row r="257" spans="2:10" ht="15.75" customHeight="1" x14ac:dyDescent="0.25">
      <c r="B257" s="21">
        <f ca="1">IFERROR(__xludf.DUMMYFUNCTION("""COMPUTED_VALUE"""),44929.6666666666)</f>
        <v>44929.666666666599</v>
      </c>
      <c r="C257" s="22">
        <f ca="1">IFERROR(__xludf.DUMMYFUNCTION("""COMPUTED_VALUE"""),135.12)</f>
        <v>135.12</v>
      </c>
      <c r="D257" s="22">
        <v>85.72</v>
      </c>
      <c r="E257" s="23">
        <v>346.22</v>
      </c>
      <c r="G257" s="21">
        <f t="shared" ca="1" si="1"/>
        <v>44929.666666666599</v>
      </c>
      <c r="H257" s="19">
        <f t="shared" ref="H257:J257" ca="1" si="255">(C257/C256) - 1</f>
        <v>7.6062639821030675E-3</v>
      </c>
      <c r="I257" s="19">
        <f t="shared" si="255"/>
        <v>8.2333568572101612E-3</v>
      </c>
      <c r="J257" s="17">
        <f t="shared" si="255"/>
        <v>8.2707204845944293E-3</v>
      </c>
    </row>
    <row r="258" spans="2:10" ht="15.75" customHeight="1" x14ac:dyDescent="0.25">
      <c r="B258" s="21">
        <f ca="1">IFERROR(__xludf.DUMMYFUNCTION("""COMPUTED_VALUE"""),44930.6666666666)</f>
        <v>44930.666666666599</v>
      </c>
      <c r="C258" s="22">
        <f ca="1">IFERROR(__xludf.DUMMYFUNCTION("""COMPUTED_VALUE"""),136.38)</f>
        <v>136.38</v>
      </c>
      <c r="D258" s="22">
        <v>86.65</v>
      </c>
      <c r="E258" s="23">
        <v>347.7</v>
      </c>
      <c r="G258" s="21">
        <f t="shared" ca="1" si="1"/>
        <v>44930.666666666599</v>
      </c>
      <c r="H258" s="19">
        <f t="shared" ref="H258:J258" ca="1" si="256">(C258/C257) - 1</f>
        <v>9.3250444049732817E-3</v>
      </c>
      <c r="I258" s="19">
        <f t="shared" si="256"/>
        <v>1.084927671488578E-2</v>
      </c>
      <c r="J258" s="17">
        <f t="shared" si="256"/>
        <v>4.2747386055108638E-3</v>
      </c>
    </row>
    <row r="259" spans="2:10" ht="15.75" customHeight="1" x14ac:dyDescent="0.25">
      <c r="B259" s="21">
        <f ca="1">IFERROR(__xludf.DUMMYFUNCTION("""COMPUTED_VALUE"""),44931.6666666666)</f>
        <v>44931.666666666599</v>
      </c>
      <c r="C259" s="22">
        <f ca="1">IFERROR(__xludf.DUMMYFUNCTION("""COMPUTED_VALUE"""),135.35)</f>
        <v>135.35</v>
      </c>
      <c r="D259" s="22">
        <v>85.92</v>
      </c>
      <c r="E259" s="23">
        <v>343.76</v>
      </c>
      <c r="G259" s="21">
        <f t="shared" ca="1" si="1"/>
        <v>44931.666666666599</v>
      </c>
      <c r="H259" s="19">
        <f t="shared" ref="H259:J259" ca="1" si="257">(C259/C258) - 1</f>
        <v>-7.55242704208825E-3</v>
      </c>
      <c r="I259" s="19">
        <f t="shared" si="257"/>
        <v>-8.4246970571264512E-3</v>
      </c>
      <c r="J259" s="17">
        <f t="shared" si="257"/>
        <v>-1.1331607707794067E-2</v>
      </c>
    </row>
    <row r="260" spans="2:10" ht="15.75" customHeight="1" x14ac:dyDescent="0.25">
      <c r="B260" s="21">
        <f ca="1">IFERROR(__xludf.DUMMYFUNCTION("""COMPUTED_VALUE"""),44932.6666666666)</f>
        <v>44932.666666666599</v>
      </c>
      <c r="C260" s="22">
        <f ca="1">IFERROR(__xludf.DUMMYFUNCTION("""COMPUTED_VALUE"""),137.94)</f>
        <v>137.94</v>
      </c>
      <c r="D260" s="22">
        <v>87.56</v>
      </c>
      <c r="E260" s="23">
        <v>348.08</v>
      </c>
      <c r="G260" s="21">
        <f t="shared" ca="1" si="1"/>
        <v>44932.666666666599</v>
      </c>
      <c r="H260" s="19">
        <f t="shared" ref="H260:J260" ca="1" si="258">(C260/C259) - 1</f>
        <v>1.9135574436645708E-2</v>
      </c>
      <c r="I260" s="19">
        <f t="shared" si="258"/>
        <v>1.9087523277467433E-2</v>
      </c>
      <c r="J260" s="17">
        <f t="shared" si="258"/>
        <v>1.2566907144519357E-2</v>
      </c>
    </row>
    <row r="261" spans="2:10" ht="15.75" customHeight="1" x14ac:dyDescent="0.25">
      <c r="B261" s="21">
        <f ca="1">IFERROR(__xludf.DUMMYFUNCTION("""COMPUTED_VALUE"""),44935.6666666666)</f>
        <v>44935.666666666599</v>
      </c>
      <c r="C261" s="22">
        <f ca="1">IFERROR(__xludf.DUMMYFUNCTION("""COMPUTED_VALUE"""),137.37)</f>
        <v>137.37</v>
      </c>
      <c r="D261" s="22">
        <v>87.64</v>
      </c>
      <c r="E261" s="23">
        <v>353</v>
      </c>
      <c r="G261" s="21">
        <f t="shared" ref="G261:G515" ca="1" si="259">B261</f>
        <v>44935.666666666599</v>
      </c>
      <c r="H261" s="19">
        <f t="shared" ref="H261:J261" ca="1" si="260">(C261/C260) - 1</f>
        <v>-4.1322314049586639E-3</v>
      </c>
      <c r="I261" s="19">
        <f t="shared" si="260"/>
        <v>9.1365920511643495E-4</v>
      </c>
      <c r="J261" s="17">
        <f t="shared" si="260"/>
        <v>1.4134681682371975E-2</v>
      </c>
    </row>
    <row r="262" spans="2:10" ht="15.75" customHeight="1" x14ac:dyDescent="0.25">
      <c r="B262" s="21">
        <f ca="1">IFERROR(__xludf.DUMMYFUNCTION("""COMPUTED_VALUE"""),44936.6666666666)</f>
        <v>44936.666666666599</v>
      </c>
      <c r="C262" s="22">
        <f ca="1">IFERROR(__xludf.DUMMYFUNCTION("""COMPUTED_VALUE"""),138.6)</f>
        <v>138.6</v>
      </c>
      <c r="D262" s="22">
        <v>88.92</v>
      </c>
      <c r="E262" s="23">
        <v>357.36</v>
      </c>
      <c r="G262" s="21">
        <f t="shared" ca="1" si="259"/>
        <v>44936.666666666599</v>
      </c>
      <c r="H262" s="19">
        <f t="shared" ref="H262:J262" ca="1" si="261">(C262/C261) - 1</f>
        <v>8.9539200698842691E-3</v>
      </c>
      <c r="I262" s="19">
        <f t="shared" si="261"/>
        <v>1.4605203103605691E-2</v>
      </c>
      <c r="J262" s="17">
        <f t="shared" si="261"/>
        <v>1.2351274787535393E-2</v>
      </c>
    </row>
    <row r="263" spans="2:10" ht="15.75" customHeight="1" x14ac:dyDescent="0.25">
      <c r="B263" s="21">
        <f ca="1">IFERROR(__xludf.DUMMYFUNCTION("""COMPUTED_VALUE"""),44937.6666666666)</f>
        <v>44937.666666666599</v>
      </c>
      <c r="C263" s="22">
        <f ca="1">IFERROR(__xludf.DUMMYFUNCTION("""COMPUTED_VALUE"""),139.63)</f>
        <v>139.63</v>
      </c>
      <c r="D263" s="22">
        <v>89.43</v>
      </c>
      <c r="E263" s="23">
        <v>364.48</v>
      </c>
      <c r="G263" s="21">
        <f t="shared" ca="1" si="259"/>
        <v>44937.666666666599</v>
      </c>
      <c r="H263" s="19">
        <f t="shared" ref="H263:J263" ca="1" si="262">(C263/C262) - 1</f>
        <v>7.4314574314573445E-3</v>
      </c>
      <c r="I263" s="19">
        <f t="shared" si="262"/>
        <v>5.7354925775978671E-3</v>
      </c>
      <c r="J263" s="17">
        <f t="shared" si="262"/>
        <v>1.9923886277143588E-2</v>
      </c>
    </row>
    <row r="264" spans="2:10" ht="15.75" customHeight="1" x14ac:dyDescent="0.25">
      <c r="B264" s="21">
        <f ca="1">IFERROR(__xludf.DUMMYFUNCTION("""COMPUTED_VALUE"""),44938.6666666666)</f>
        <v>44938.666666666599</v>
      </c>
      <c r="C264" s="22">
        <f ca="1">IFERROR(__xludf.DUMMYFUNCTION("""COMPUTED_VALUE"""),139.49)</f>
        <v>139.49</v>
      </c>
      <c r="D264" s="22">
        <v>90.53</v>
      </c>
      <c r="E264" s="23">
        <v>369.94</v>
      </c>
      <c r="G264" s="21">
        <f t="shared" ca="1" si="259"/>
        <v>44938.666666666599</v>
      </c>
      <c r="H264" s="19">
        <f t="shared" ref="H264:J264" ca="1" si="263">(C264/C263) - 1</f>
        <v>-1.0026498603451506E-3</v>
      </c>
      <c r="I264" s="19">
        <f t="shared" si="263"/>
        <v>1.2300123001229846E-2</v>
      </c>
      <c r="J264" s="17">
        <f t="shared" si="263"/>
        <v>1.4980245829675054E-2</v>
      </c>
    </row>
    <row r="265" spans="2:10" ht="15.75" customHeight="1" x14ac:dyDescent="0.25">
      <c r="B265" s="21">
        <f ca="1">IFERROR(__xludf.DUMMYFUNCTION("""COMPUTED_VALUE"""),44939.6666666666)</f>
        <v>44939.666666666599</v>
      </c>
      <c r="C265" s="22">
        <f ca="1">IFERROR(__xludf.DUMMYFUNCTION("""COMPUTED_VALUE"""),143.01)</f>
        <v>143.01</v>
      </c>
      <c r="D265" s="22">
        <v>91.66</v>
      </c>
      <c r="E265" s="23">
        <v>374</v>
      </c>
      <c r="G265" s="21">
        <f t="shared" ca="1" si="259"/>
        <v>44939.666666666599</v>
      </c>
      <c r="H265" s="19">
        <f t="shared" ref="H265:J265" ca="1" si="264">(C265/C264) - 1</f>
        <v>2.5234783855473397E-2</v>
      </c>
      <c r="I265" s="19">
        <f t="shared" si="264"/>
        <v>1.2482050149121848E-2</v>
      </c>
      <c r="J265" s="17">
        <f t="shared" si="264"/>
        <v>1.0974752662593845E-2</v>
      </c>
    </row>
    <row r="266" spans="2:10" ht="15.75" customHeight="1" x14ac:dyDescent="0.25">
      <c r="B266" s="21">
        <f ca="1">IFERROR(__xludf.DUMMYFUNCTION("""COMPUTED_VALUE"""),44943.6666666666)</f>
        <v>44943.666666666599</v>
      </c>
      <c r="C266" s="22">
        <f ca="1">IFERROR(__xludf.DUMMYFUNCTION("""COMPUTED_VALUE"""),140.8)</f>
        <v>140.80000000000001</v>
      </c>
      <c r="D266" s="22">
        <v>97.08</v>
      </c>
      <c r="E266" s="23">
        <v>349.92</v>
      </c>
      <c r="G266" s="21">
        <f t="shared" ca="1" si="259"/>
        <v>44943.666666666599</v>
      </c>
      <c r="H266" s="19">
        <f t="shared" ref="H266:J266" ca="1" si="265">(C266/C265) - 1</f>
        <v>-1.5453464792671734E-2</v>
      </c>
      <c r="I266" s="19">
        <f t="shared" si="265"/>
        <v>5.9131573205324139E-2</v>
      </c>
      <c r="J266" s="17">
        <f t="shared" si="265"/>
        <v>-6.4385026737967865E-2</v>
      </c>
    </row>
    <row r="267" spans="2:10" ht="15.75" customHeight="1" x14ac:dyDescent="0.25">
      <c r="B267" s="21">
        <f ca="1">IFERROR(__xludf.DUMMYFUNCTION("""COMPUTED_VALUE"""),44944.6666666666)</f>
        <v>44944.666666666599</v>
      </c>
      <c r="C267" s="22">
        <f ca="1">IFERROR(__xludf.DUMMYFUNCTION("""COMPUTED_VALUE"""),136.57)</f>
        <v>136.57</v>
      </c>
      <c r="D267" s="22">
        <v>96.58</v>
      </c>
      <c r="E267" s="23">
        <v>349.09</v>
      </c>
      <c r="G267" s="21">
        <f t="shared" ca="1" si="259"/>
        <v>44944.666666666599</v>
      </c>
      <c r="H267" s="19">
        <f t="shared" ref="H267:J267" ca="1" si="266">(C267/C266) - 1</f>
        <v>-3.0042613636363735E-2</v>
      </c>
      <c r="I267" s="19">
        <f t="shared" si="266"/>
        <v>-5.150391429748713E-3</v>
      </c>
      <c r="J267" s="17">
        <f t="shared" si="266"/>
        <v>-2.3719707361683495E-3</v>
      </c>
    </row>
    <row r="268" spans="2:10" ht="15.75" customHeight="1" x14ac:dyDescent="0.25">
      <c r="B268" s="21">
        <f ca="1">IFERROR(__xludf.DUMMYFUNCTION("""COMPUTED_VALUE"""),44945.6666666666)</f>
        <v>44945.666666666599</v>
      </c>
      <c r="C268" s="22">
        <f ca="1">IFERROR(__xludf.DUMMYFUNCTION("""COMPUTED_VALUE"""),134.75)</f>
        <v>134.75</v>
      </c>
      <c r="D268" s="22">
        <v>94.15</v>
      </c>
      <c r="E268" s="23">
        <v>350.75</v>
      </c>
      <c r="G268" s="21">
        <f t="shared" ca="1" si="259"/>
        <v>44945.666666666599</v>
      </c>
      <c r="H268" s="19">
        <f t="shared" ref="H268:J268" ca="1" si="267">(C268/C267) - 1</f>
        <v>-1.3326499231163469E-2</v>
      </c>
      <c r="I268" s="19">
        <f t="shared" si="267"/>
        <v>-2.5160488714019436E-2</v>
      </c>
      <c r="J268" s="17">
        <f t="shared" si="267"/>
        <v>4.7552207167207428E-3</v>
      </c>
    </row>
    <row r="269" spans="2:10" ht="15.75" customHeight="1" x14ac:dyDescent="0.25">
      <c r="B269" s="21">
        <f ca="1">IFERROR(__xludf.DUMMYFUNCTION("""COMPUTED_VALUE"""),44946.6666666666)</f>
        <v>44946.666666666599</v>
      </c>
      <c r="C269" s="22">
        <f ca="1">IFERROR(__xludf.DUMMYFUNCTION("""COMPUTED_VALUE"""),135.08)</f>
        <v>135.08000000000001</v>
      </c>
      <c r="D269" s="22">
        <v>96.24</v>
      </c>
      <c r="E269" s="23">
        <v>341.84</v>
      </c>
      <c r="G269" s="21">
        <f t="shared" ca="1" si="259"/>
        <v>44946.666666666599</v>
      </c>
      <c r="H269" s="19">
        <f t="shared" ref="H269:J269" ca="1" si="268">(C269/C268) - 1</f>
        <v>2.4489795918367641E-3</v>
      </c>
      <c r="I269" s="19">
        <f t="shared" si="268"/>
        <v>2.2198619224641503E-2</v>
      </c>
      <c r="J269" s="17">
        <f t="shared" si="268"/>
        <v>-2.5402708481824687E-2</v>
      </c>
    </row>
    <row r="270" spans="2:10" ht="15.75" customHeight="1" x14ac:dyDescent="0.25">
      <c r="B270" s="21">
        <f ca="1">IFERROR(__xludf.DUMMYFUNCTION("""COMPUTED_VALUE"""),44949.6666666666)</f>
        <v>44949.666666666599</v>
      </c>
      <c r="C270" s="22">
        <f ca="1">IFERROR(__xludf.DUMMYFUNCTION("""COMPUTED_VALUE"""),137.27)</f>
        <v>137.27000000000001</v>
      </c>
      <c r="D270" s="22">
        <v>97.13</v>
      </c>
      <c r="E270" s="23">
        <v>349.14</v>
      </c>
      <c r="G270" s="21">
        <f t="shared" ca="1" si="259"/>
        <v>44949.666666666599</v>
      </c>
      <c r="H270" s="19">
        <f t="shared" ref="H270:J270" ca="1" si="269">(C270/C269) - 1</f>
        <v>1.6212614746816678E-2</v>
      </c>
      <c r="I270" s="19">
        <f t="shared" si="269"/>
        <v>9.2477140482127851E-3</v>
      </c>
      <c r="J270" s="17">
        <f t="shared" si="269"/>
        <v>2.1355019892347338E-2</v>
      </c>
    </row>
    <row r="271" spans="2:10" ht="15.75" customHeight="1" x14ac:dyDescent="0.25">
      <c r="B271" s="21">
        <f ca="1">IFERROR(__xludf.DUMMYFUNCTION("""COMPUTED_VALUE"""),44950.6666666666)</f>
        <v>44950.666666666599</v>
      </c>
      <c r="C271" s="22">
        <f ca="1">IFERROR(__xludf.DUMMYFUNCTION("""COMPUTED_VALUE"""),138.45)</f>
        <v>138.44999999999999</v>
      </c>
      <c r="D271" s="22">
        <v>95.51</v>
      </c>
      <c r="E271" s="23">
        <v>348.33</v>
      </c>
      <c r="G271" s="21">
        <f t="shared" ca="1" si="259"/>
        <v>44950.666666666599</v>
      </c>
      <c r="H271" s="19">
        <f t="shared" ref="H271:J271" ca="1" si="270">(C271/C270) - 1</f>
        <v>8.5961972754424743E-3</v>
      </c>
      <c r="I271" s="19">
        <f t="shared" si="270"/>
        <v>-1.6678678060331409E-2</v>
      </c>
      <c r="J271" s="17">
        <f t="shared" si="270"/>
        <v>-2.3199862519333037E-3</v>
      </c>
    </row>
    <row r="272" spans="2:10" ht="15.75" customHeight="1" x14ac:dyDescent="0.25">
      <c r="B272" s="21">
        <f ca="1">IFERROR(__xludf.DUMMYFUNCTION("""COMPUTED_VALUE"""),44951.6666666666)</f>
        <v>44951.666666666599</v>
      </c>
      <c r="C272" s="22">
        <f ca="1">IFERROR(__xludf.DUMMYFUNCTION("""COMPUTED_VALUE"""),139.12)</f>
        <v>139.12</v>
      </c>
      <c r="D272" s="22">
        <v>95.64</v>
      </c>
      <c r="E272" s="23">
        <v>349.63</v>
      </c>
      <c r="G272" s="21">
        <f t="shared" ca="1" si="259"/>
        <v>44951.666666666599</v>
      </c>
      <c r="H272" s="19">
        <f t="shared" ref="H272:J272" ca="1" si="271">(C272/C271) - 1</f>
        <v>4.8392921632358643E-3</v>
      </c>
      <c r="I272" s="19">
        <f t="shared" si="271"/>
        <v>1.3611140194742521E-3</v>
      </c>
      <c r="J272" s="17">
        <f t="shared" si="271"/>
        <v>3.7320931300779403E-3</v>
      </c>
    </row>
    <row r="273" spans="2:10" ht="15.75" customHeight="1" x14ac:dyDescent="0.25">
      <c r="B273" s="21">
        <f ca="1">IFERROR(__xludf.DUMMYFUNCTION("""COMPUTED_VALUE"""),44952.6666666666)</f>
        <v>44952.666666666599</v>
      </c>
      <c r="C273" s="22">
        <f ca="1">IFERROR(__xludf.DUMMYFUNCTION("""COMPUTED_VALUE"""),139.98)</f>
        <v>139.97999999999999</v>
      </c>
      <c r="D273" s="22">
        <v>96.5</v>
      </c>
      <c r="E273" s="23">
        <v>354.97</v>
      </c>
      <c r="G273" s="21">
        <f t="shared" ca="1" si="259"/>
        <v>44952.666666666599</v>
      </c>
      <c r="H273" s="19">
        <f t="shared" ref="H273:J273" ca="1" si="272">(C273/C272) - 1</f>
        <v>6.1817136285220453E-3</v>
      </c>
      <c r="I273" s="19">
        <f t="shared" si="272"/>
        <v>8.992053534086164E-3</v>
      </c>
      <c r="J273" s="17">
        <f t="shared" si="272"/>
        <v>1.5273288905414351E-2</v>
      </c>
    </row>
    <row r="274" spans="2:10" ht="15.75" customHeight="1" x14ac:dyDescent="0.25">
      <c r="B274" s="21">
        <f ca="1">IFERROR(__xludf.DUMMYFUNCTION("""COMPUTED_VALUE"""),44953.6666666666)</f>
        <v>44953.666666666599</v>
      </c>
      <c r="C274" s="22">
        <f ca="1">IFERROR(__xludf.DUMMYFUNCTION("""COMPUTED_VALUE"""),140.32)</f>
        <v>140.32</v>
      </c>
      <c r="D274" s="22">
        <v>96.86</v>
      </c>
      <c r="E274" s="23">
        <v>353.7</v>
      </c>
      <c r="G274" s="21">
        <f t="shared" ca="1" si="259"/>
        <v>44953.666666666599</v>
      </c>
      <c r="H274" s="19">
        <f t="shared" ref="H274:J274" ca="1" si="273">(C274/C273) - 1</f>
        <v>2.4289184169168365E-3</v>
      </c>
      <c r="I274" s="19">
        <f t="shared" si="273"/>
        <v>3.7305699481864352E-3</v>
      </c>
      <c r="J274" s="17">
        <f t="shared" si="273"/>
        <v>-3.577767135250931E-3</v>
      </c>
    </row>
    <row r="275" spans="2:10" ht="15.75" customHeight="1" x14ac:dyDescent="0.25">
      <c r="B275" s="21">
        <f ca="1">IFERROR(__xludf.DUMMYFUNCTION("""COMPUTED_VALUE"""),44956.6666666666)</f>
        <v>44956.666666666599</v>
      </c>
      <c r="C275" s="22">
        <f ca="1">IFERROR(__xludf.DUMMYFUNCTION("""COMPUTED_VALUE"""),139.13)</f>
        <v>139.13</v>
      </c>
      <c r="D275" s="22">
        <v>95.96</v>
      </c>
      <c r="E275" s="23">
        <v>357.46</v>
      </c>
      <c r="G275" s="21">
        <f t="shared" ca="1" si="259"/>
        <v>44956.666666666599</v>
      </c>
      <c r="H275" s="19">
        <f t="shared" ref="H275:J275" ca="1" si="274">(C275/C274) - 1</f>
        <v>-8.4806157354617717E-3</v>
      </c>
      <c r="I275" s="19">
        <f t="shared" si="274"/>
        <v>-9.2917613049763315E-3</v>
      </c>
      <c r="J275" s="17">
        <f t="shared" si="274"/>
        <v>1.0630477806050198E-2</v>
      </c>
    </row>
    <row r="276" spans="2:10" ht="15.75" customHeight="1" x14ac:dyDescent="0.25">
      <c r="B276" s="21">
        <f ca="1">IFERROR(__xludf.DUMMYFUNCTION("""COMPUTED_VALUE"""),44957.6666666666)</f>
        <v>44957.666666666599</v>
      </c>
      <c r="C276" s="22">
        <f ca="1">IFERROR(__xludf.DUMMYFUNCTION("""COMPUTED_VALUE"""),139.96)</f>
        <v>139.96</v>
      </c>
      <c r="D276" s="22">
        <v>97.33</v>
      </c>
      <c r="E276" s="23">
        <v>365.81</v>
      </c>
      <c r="G276" s="21">
        <f t="shared" ca="1" si="259"/>
        <v>44957.666666666599</v>
      </c>
      <c r="H276" s="19">
        <f t="shared" ref="H276:J276" ca="1" si="275">(C276/C275) - 1</f>
        <v>5.96564364263652E-3</v>
      </c>
      <c r="I276" s="19">
        <f t="shared" si="275"/>
        <v>1.4276781992496934E-2</v>
      </c>
      <c r="J276" s="17">
        <f t="shared" si="275"/>
        <v>2.3359256979802012E-2</v>
      </c>
    </row>
    <row r="277" spans="2:10" ht="15.75" customHeight="1" x14ac:dyDescent="0.25">
      <c r="B277" s="21">
        <f ca="1">IFERROR(__xludf.DUMMYFUNCTION("""COMPUTED_VALUE"""),44958.6666666666)</f>
        <v>44958.666666666599</v>
      </c>
      <c r="C277" s="22">
        <f ca="1">IFERROR(__xludf.DUMMYFUNCTION("""COMPUTED_VALUE"""),139.59)</f>
        <v>139.59</v>
      </c>
      <c r="D277" s="22">
        <v>98.19</v>
      </c>
      <c r="E277" s="23">
        <v>365.71</v>
      </c>
      <c r="G277" s="21">
        <f t="shared" ca="1" si="259"/>
        <v>44958.666666666599</v>
      </c>
      <c r="H277" s="19">
        <f t="shared" ref="H277:J277" ca="1" si="276">(C277/C276) - 1</f>
        <v>-2.6436124607031042E-3</v>
      </c>
      <c r="I277" s="19">
        <f t="shared" si="276"/>
        <v>8.8359190383231478E-3</v>
      </c>
      <c r="J277" s="17">
        <f t="shared" si="276"/>
        <v>-2.733659550040457E-4</v>
      </c>
    </row>
    <row r="278" spans="2:10" ht="15.75" customHeight="1" x14ac:dyDescent="0.25">
      <c r="B278" s="21">
        <f ca="1">IFERROR(__xludf.DUMMYFUNCTION("""COMPUTED_VALUE"""),44959.6666666666)</f>
        <v>44959.666666666599</v>
      </c>
      <c r="C278" s="22">
        <f ca="1">IFERROR(__xludf.DUMMYFUNCTION("""COMPUTED_VALUE"""),138.94)</f>
        <v>138.94</v>
      </c>
      <c r="D278" s="22">
        <v>99.21</v>
      </c>
      <c r="E278" s="23">
        <v>369.47</v>
      </c>
      <c r="G278" s="21">
        <f t="shared" ca="1" si="259"/>
        <v>44959.666666666599</v>
      </c>
      <c r="H278" s="19">
        <f t="shared" ref="H278:J278" ca="1" si="277">(C278/C277) - 1</f>
        <v>-4.6564940181962333E-3</v>
      </c>
      <c r="I278" s="19">
        <f t="shared" si="277"/>
        <v>1.038802322028709E-2</v>
      </c>
      <c r="J278" s="17">
        <f t="shared" si="277"/>
        <v>1.0281370484810592E-2</v>
      </c>
    </row>
    <row r="279" spans="2:10" ht="15.75" customHeight="1" x14ac:dyDescent="0.25">
      <c r="B279" s="21">
        <f ca="1">IFERROR(__xludf.DUMMYFUNCTION("""COMPUTED_VALUE"""),44960.6666666666)</f>
        <v>44960.666666666599</v>
      </c>
      <c r="C279" s="22">
        <f ca="1">IFERROR(__xludf.DUMMYFUNCTION("""COMPUTED_VALUE"""),141.09)</f>
        <v>141.09</v>
      </c>
      <c r="D279" s="22">
        <v>99.43</v>
      </c>
      <c r="E279" s="23">
        <v>369.95</v>
      </c>
      <c r="G279" s="21">
        <f t="shared" ca="1" si="259"/>
        <v>44960.666666666599</v>
      </c>
      <c r="H279" s="19">
        <f t="shared" ref="H279:J279" ca="1" si="278">(C279/C278) - 1</f>
        <v>1.5474305455592363E-2</v>
      </c>
      <c r="I279" s="19">
        <f t="shared" si="278"/>
        <v>2.217518395323248E-3</v>
      </c>
      <c r="J279" s="17">
        <f t="shared" si="278"/>
        <v>1.2991582537147384E-3</v>
      </c>
    </row>
    <row r="280" spans="2:10" ht="15.75" customHeight="1" x14ac:dyDescent="0.25">
      <c r="B280" s="21">
        <f ca="1">IFERROR(__xludf.DUMMYFUNCTION("""COMPUTED_VALUE"""),44963.6666666666)</f>
        <v>44963.666666666599</v>
      </c>
      <c r="C280" s="22">
        <f ca="1">IFERROR(__xludf.DUMMYFUNCTION("""COMPUTED_VALUE"""),141.92)</f>
        <v>141.91999999999999</v>
      </c>
      <c r="D280" s="22">
        <v>98.9</v>
      </c>
      <c r="E280" s="23">
        <v>370.8</v>
      </c>
      <c r="G280" s="21">
        <f t="shared" ca="1" si="259"/>
        <v>44963.666666666599</v>
      </c>
      <c r="H280" s="19">
        <f t="shared" ref="H280:J280" ca="1" si="279">(C280/C279) - 1</f>
        <v>5.8827698632077929E-3</v>
      </c>
      <c r="I280" s="19">
        <f t="shared" si="279"/>
        <v>-5.3303831841496896E-3</v>
      </c>
      <c r="J280" s="17">
        <f t="shared" si="279"/>
        <v>2.2976077848357868E-3</v>
      </c>
    </row>
    <row r="281" spans="2:10" ht="15.75" customHeight="1" x14ac:dyDescent="0.25">
      <c r="B281" s="21">
        <f ca="1">IFERROR(__xludf.DUMMYFUNCTION("""COMPUTED_VALUE"""),44964.6666666666)</f>
        <v>44964.666666666599</v>
      </c>
      <c r="C281" s="22">
        <f ca="1">IFERROR(__xludf.DUMMYFUNCTION("""COMPUTED_VALUE"""),143.65)</f>
        <v>143.65</v>
      </c>
      <c r="D281" s="22">
        <v>99.22</v>
      </c>
      <c r="E281" s="23">
        <v>374.4</v>
      </c>
      <c r="G281" s="21">
        <f t="shared" ca="1" si="259"/>
        <v>44964.666666666599</v>
      </c>
      <c r="H281" s="19">
        <f t="shared" ref="H281:J281" ca="1" si="280">(C281/C280) - 1</f>
        <v>1.2189966178128619E-2</v>
      </c>
      <c r="I281" s="19">
        <f t="shared" si="280"/>
        <v>3.2355915065722662E-3</v>
      </c>
      <c r="J281" s="17">
        <f t="shared" si="280"/>
        <v>9.7087378640776656E-3</v>
      </c>
    </row>
    <row r="282" spans="2:10" ht="15.75" customHeight="1" x14ac:dyDescent="0.25">
      <c r="B282" s="21">
        <f ca="1">IFERROR(__xludf.DUMMYFUNCTION("""COMPUTED_VALUE"""),44965.6666666666)</f>
        <v>44965.666666666599</v>
      </c>
      <c r="C282" s="22">
        <f ca="1">IFERROR(__xludf.DUMMYFUNCTION("""COMPUTED_VALUE"""),142.64)</f>
        <v>142.63999999999999</v>
      </c>
      <c r="D282" s="22">
        <v>98.96</v>
      </c>
      <c r="E282" s="23">
        <v>375.1</v>
      </c>
      <c r="G282" s="21">
        <f t="shared" ca="1" si="259"/>
        <v>44965.666666666599</v>
      </c>
      <c r="H282" s="19">
        <f t="shared" ref="H282:J282" ca="1" si="281">(C282/C281) - 1</f>
        <v>-7.0309780717021653E-3</v>
      </c>
      <c r="I282" s="19">
        <f t="shared" si="281"/>
        <v>-2.6204394275348708E-3</v>
      </c>
      <c r="J282" s="17">
        <f t="shared" si="281"/>
        <v>1.869658119658224E-3</v>
      </c>
    </row>
    <row r="283" spans="2:10" ht="15.75" customHeight="1" x14ac:dyDescent="0.25">
      <c r="B283" s="21">
        <f ca="1">IFERROR(__xludf.DUMMYFUNCTION("""COMPUTED_VALUE"""),44966.6666666666)</f>
        <v>44966.666666666599</v>
      </c>
      <c r="C283" s="22">
        <f ca="1">IFERROR(__xludf.DUMMYFUNCTION("""COMPUTED_VALUE"""),140.42)</f>
        <v>140.41999999999999</v>
      </c>
      <c r="D283" s="22">
        <v>98.05</v>
      </c>
      <c r="E283" s="23">
        <v>367.99</v>
      </c>
      <c r="G283" s="21">
        <f t="shared" ca="1" si="259"/>
        <v>44966.666666666599</v>
      </c>
      <c r="H283" s="19">
        <f t="shared" ref="H283:J283" ca="1" si="282">(C283/C282) - 1</f>
        <v>-1.5563656758272537E-2</v>
      </c>
      <c r="I283" s="19">
        <f t="shared" si="282"/>
        <v>-9.1956345998382982E-3</v>
      </c>
      <c r="J283" s="17">
        <f t="shared" si="282"/>
        <v>-1.8954945347907315E-2</v>
      </c>
    </row>
    <row r="284" spans="2:10" ht="15.75" customHeight="1" x14ac:dyDescent="0.25">
      <c r="B284" s="21">
        <f ca="1">IFERROR(__xludf.DUMMYFUNCTION("""COMPUTED_VALUE"""),44967.6666666666)</f>
        <v>44967.666666666599</v>
      </c>
      <c r="C284" s="22">
        <f ca="1">IFERROR(__xludf.DUMMYFUNCTION("""COMPUTED_VALUE"""),141.04)</f>
        <v>141.04</v>
      </c>
      <c r="D284" s="22">
        <v>98.44</v>
      </c>
      <c r="E284" s="23">
        <v>371.28</v>
      </c>
      <c r="G284" s="21">
        <f t="shared" ca="1" si="259"/>
        <v>44967.666666666599</v>
      </c>
      <c r="H284" s="19">
        <f t="shared" ref="H284:J284" ca="1" si="283">(C284/C283) - 1</f>
        <v>4.4153254522147911E-3</v>
      </c>
      <c r="I284" s="19">
        <f t="shared" si="283"/>
        <v>3.977562468128415E-3</v>
      </c>
      <c r="J284" s="17">
        <f t="shared" si="283"/>
        <v>8.940460338596079E-3</v>
      </c>
    </row>
    <row r="285" spans="2:10" ht="15.75" customHeight="1" x14ac:dyDescent="0.25">
      <c r="B285" s="21">
        <f ca="1">IFERROR(__xludf.DUMMYFUNCTION("""COMPUTED_VALUE"""),44970.6666666666)</f>
        <v>44970.666666666599</v>
      </c>
      <c r="C285" s="22">
        <f ca="1">IFERROR(__xludf.DUMMYFUNCTION("""COMPUTED_VALUE"""),142.57)</f>
        <v>142.57</v>
      </c>
      <c r="D285" s="22">
        <v>99.43</v>
      </c>
      <c r="E285" s="23">
        <v>374.02</v>
      </c>
      <c r="G285" s="21">
        <f t="shared" ca="1" si="259"/>
        <v>44970.666666666599</v>
      </c>
      <c r="H285" s="19">
        <f t="shared" ref="H285:J285" ca="1" si="284">(C285/C284) - 1</f>
        <v>1.0847986386840702E-2</v>
      </c>
      <c r="I285" s="19">
        <f t="shared" si="284"/>
        <v>1.0056887444128471E-2</v>
      </c>
      <c r="J285" s="17">
        <f t="shared" si="284"/>
        <v>7.3798750269338242E-3</v>
      </c>
    </row>
    <row r="286" spans="2:10" ht="15.75" customHeight="1" x14ac:dyDescent="0.25">
      <c r="B286" s="21">
        <f ca="1">IFERROR(__xludf.DUMMYFUNCTION("""COMPUTED_VALUE"""),44971.6666666666)</f>
        <v>44971.666666666599</v>
      </c>
      <c r="C286" s="22">
        <f ca="1">IFERROR(__xludf.DUMMYFUNCTION("""COMPUTED_VALUE"""),143.2)</f>
        <v>143.19999999999999</v>
      </c>
      <c r="D286" s="22">
        <v>100.56</v>
      </c>
      <c r="E286" s="23">
        <v>371.78</v>
      </c>
      <c r="G286" s="21">
        <f t="shared" ca="1" si="259"/>
        <v>44971.666666666599</v>
      </c>
      <c r="H286" s="19">
        <f t="shared" ref="H286:J286" ca="1" si="285">(C286/C285) - 1</f>
        <v>4.4188819527248846E-3</v>
      </c>
      <c r="I286" s="19">
        <f t="shared" si="285"/>
        <v>1.1364779241677558E-2</v>
      </c>
      <c r="J286" s="17">
        <f t="shared" si="285"/>
        <v>-5.9889845462809399E-3</v>
      </c>
    </row>
    <row r="287" spans="2:10" ht="15.75" customHeight="1" x14ac:dyDescent="0.25">
      <c r="B287" s="21">
        <f ca="1">IFERROR(__xludf.DUMMYFUNCTION("""COMPUTED_VALUE"""),44972.6666666666)</f>
        <v>44972.666666666599</v>
      </c>
      <c r="C287" s="22">
        <f ca="1">IFERROR(__xludf.DUMMYFUNCTION("""COMPUTED_VALUE"""),143.8)</f>
        <v>143.80000000000001</v>
      </c>
      <c r="D287" s="22">
        <v>100.83</v>
      </c>
      <c r="E287" s="23">
        <v>374.34</v>
      </c>
      <c r="G287" s="21">
        <f t="shared" ca="1" si="259"/>
        <v>44972.666666666599</v>
      </c>
      <c r="H287" s="19">
        <f t="shared" ref="H287:J287" ca="1" si="286">(C287/C286) - 1</f>
        <v>4.1899441340784715E-3</v>
      </c>
      <c r="I287" s="19">
        <f t="shared" si="286"/>
        <v>2.6849642004773688E-3</v>
      </c>
      <c r="J287" s="17">
        <f t="shared" si="286"/>
        <v>6.8857926730863106E-3</v>
      </c>
    </row>
    <row r="288" spans="2:10" ht="15.75" customHeight="1" x14ac:dyDescent="0.25">
      <c r="B288" s="21">
        <f ca="1">IFERROR(__xludf.DUMMYFUNCTION("""COMPUTED_VALUE"""),44973.6666666666)</f>
        <v>44973.666666666599</v>
      </c>
      <c r="C288" s="22">
        <f ca="1">IFERROR(__xludf.DUMMYFUNCTION("""COMPUTED_VALUE"""),141.82)</f>
        <v>141.82</v>
      </c>
      <c r="D288" s="22">
        <v>99.57</v>
      </c>
      <c r="E288" s="23">
        <v>370.2</v>
      </c>
      <c r="G288" s="21">
        <f t="shared" ca="1" si="259"/>
        <v>44973.666666666599</v>
      </c>
      <c r="H288" s="19">
        <f t="shared" ref="H288:J288" ca="1" si="287">(C288/C287) - 1</f>
        <v>-1.3769123783032078E-2</v>
      </c>
      <c r="I288" s="19">
        <f t="shared" si="287"/>
        <v>-1.2496280868789067E-2</v>
      </c>
      <c r="J288" s="17">
        <f t="shared" si="287"/>
        <v>-1.1059464657797724E-2</v>
      </c>
    </row>
    <row r="289" spans="2:10" ht="15.75" customHeight="1" x14ac:dyDescent="0.25">
      <c r="B289" s="21">
        <f ca="1">IFERROR(__xludf.DUMMYFUNCTION("""COMPUTED_VALUE"""),44974.6666666666)</f>
        <v>44974.666666666599</v>
      </c>
      <c r="C289" s="22">
        <f ca="1">IFERROR(__xludf.DUMMYFUNCTION("""COMPUTED_VALUE"""),142.24)</f>
        <v>142.24</v>
      </c>
      <c r="D289" s="22">
        <v>99.51</v>
      </c>
      <c r="E289" s="23">
        <v>368.5</v>
      </c>
      <c r="G289" s="21">
        <f t="shared" ca="1" si="259"/>
        <v>44974.666666666599</v>
      </c>
      <c r="H289" s="19">
        <f t="shared" ref="H289:J289" ca="1" si="288">(C289/C288) - 1</f>
        <v>2.9615004935834577E-3</v>
      </c>
      <c r="I289" s="19">
        <f t="shared" si="288"/>
        <v>-6.0259114191008045E-4</v>
      </c>
      <c r="J289" s="17">
        <f t="shared" si="288"/>
        <v>-4.5921123716909928E-3</v>
      </c>
    </row>
    <row r="290" spans="2:10" ht="15.75" customHeight="1" x14ac:dyDescent="0.25">
      <c r="B290" s="21">
        <f ca="1">IFERROR(__xludf.DUMMYFUNCTION("""COMPUTED_VALUE"""),44978.6666666666)</f>
        <v>44978.666666666599</v>
      </c>
      <c r="C290" s="22">
        <f ca="1">IFERROR(__xludf.DUMMYFUNCTION("""COMPUTED_VALUE"""),139.63)</f>
        <v>139.63</v>
      </c>
      <c r="D290" s="22">
        <v>97.62</v>
      </c>
      <c r="E290" s="23">
        <v>361.12</v>
      </c>
      <c r="G290" s="21">
        <f t="shared" ca="1" si="259"/>
        <v>44978.666666666599</v>
      </c>
      <c r="H290" s="19">
        <f t="shared" ref="H290:J290" ca="1" si="289">(C290/C289) - 1</f>
        <v>-1.8349268841394872E-2</v>
      </c>
      <c r="I290" s="19">
        <f t="shared" si="289"/>
        <v>-1.8993066023515248E-2</v>
      </c>
      <c r="J290" s="17">
        <f t="shared" si="289"/>
        <v>-2.0027137042062382E-2</v>
      </c>
    </row>
    <row r="291" spans="2:10" ht="15.75" customHeight="1" x14ac:dyDescent="0.25">
      <c r="B291" s="21">
        <f ca="1">IFERROR(__xludf.DUMMYFUNCTION("""COMPUTED_VALUE"""),44979.6666666666)</f>
        <v>44979.666666666599</v>
      </c>
      <c r="C291" s="22">
        <f ca="1">IFERROR(__xludf.DUMMYFUNCTION("""COMPUTED_VALUE"""),138.56)</f>
        <v>138.56</v>
      </c>
      <c r="D291" s="22">
        <v>97.27</v>
      </c>
      <c r="E291" s="23">
        <v>360.89</v>
      </c>
      <c r="G291" s="21">
        <f t="shared" ca="1" si="259"/>
        <v>44979.666666666599</v>
      </c>
      <c r="H291" s="19">
        <f t="shared" ref="H291:J291" ca="1" si="290">(C291/C290) - 1</f>
        <v>-7.6631096469239601E-3</v>
      </c>
      <c r="I291" s="19">
        <f t="shared" si="290"/>
        <v>-3.5853308748208246E-3</v>
      </c>
      <c r="J291" s="17">
        <f t="shared" si="290"/>
        <v>-6.3690739920252426E-4</v>
      </c>
    </row>
    <row r="292" spans="2:10" ht="15.75" customHeight="1" x14ac:dyDescent="0.25">
      <c r="B292" s="21">
        <f ca="1">IFERROR(__xludf.DUMMYFUNCTION("""COMPUTED_VALUE"""),44980.6666666666)</f>
        <v>44980.666666666599</v>
      </c>
      <c r="C292" s="22">
        <f ca="1">IFERROR(__xludf.DUMMYFUNCTION("""COMPUTED_VALUE"""),139.67)</f>
        <v>139.66999999999999</v>
      </c>
      <c r="D292" s="22">
        <v>97.94</v>
      </c>
      <c r="E292" s="23">
        <v>363.54</v>
      </c>
      <c r="G292" s="21">
        <f t="shared" ca="1" si="259"/>
        <v>44980.666666666599</v>
      </c>
      <c r="H292" s="19">
        <f t="shared" ref="H292:J292" ca="1" si="291">(C292/C291) - 1</f>
        <v>8.0109699769053133E-3</v>
      </c>
      <c r="I292" s="19">
        <f t="shared" si="291"/>
        <v>6.8880435900071646E-3</v>
      </c>
      <c r="J292" s="17">
        <f t="shared" si="291"/>
        <v>7.3429576879382452E-3</v>
      </c>
    </row>
    <row r="293" spans="2:10" ht="15.75" customHeight="1" x14ac:dyDescent="0.25">
      <c r="B293" s="21">
        <f ca="1">IFERROR(__xludf.DUMMYFUNCTION("""COMPUTED_VALUE"""),44981.6666666666)</f>
        <v>44981.666666666599</v>
      </c>
      <c r="C293" s="22">
        <f ca="1">IFERROR(__xludf.DUMMYFUNCTION("""COMPUTED_VALUE"""),140.93)</f>
        <v>140.93</v>
      </c>
      <c r="D293" s="22">
        <v>97.7</v>
      </c>
      <c r="E293" s="23">
        <v>363.85</v>
      </c>
      <c r="G293" s="21">
        <f t="shared" ca="1" si="259"/>
        <v>44981.666666666599</v>
      </c>
      <c r="H293" s="19">
        <f t="shared" ref="H293:J293" ca="1" si="292">(C293/C292) - 1</f>
        <v>9.0212644089642247E-3</v>
      </c>
      <c r="I293" s="19">
        <f t="shared" si="292"/>
        <v>-2.4504798856441745E-3</v>
      </c>
      <c r="J293" s="17">
        <f t="shared" si="292"/>
        <v>8.5272597238272851E-4</v>
      </c>
    </row>
    <row r="294" spans="2:10" ht="15.75" customHeight="1" x14ac:dyDescent="0.25">
      <c r="B294" s="21">
        <f ca="1">IFERROR(__xludf.DUMMYFUNCTION("""COMPUTED_VALUE"""),44984.6666666666)</f>
        <v>44984.666666666599</v>
      </c>
      <c r="C294" s="22">
        <f ca="1">IFERROR(__xludf.DUMMYFUNCTION("""COMPUTED_VALUE"""),142.16)</f>
        <v>142.16</v>
      </c>
      <c r="D294" s="22">
        <v>96.7</v>
      </c>
      <c r="E294" s="23">
        <v>365.53</v>
      </c>
      <c r="G294" s="21">
        <f t="shared" ca="1" si="259"/>
        <v>44984.666666666599</v>
      </c>
      <c r="H294" s="19">
        <f t="shared" ref="H294:J294" ca="1" si="293">(C294/C293) - 1</f>
        <v>8.7277371744836074E-3</v>
      </c>
      <c r="I294" s="19">
        <f t="shared" si="293"/>
        <v>-1.0235414534288667E-2</v>
      </c>
      <c r="J294" s="17">
        <f t="shared" si="293"/>
        <v>4.6172873436853834E-3</v>
      </c>
    </row>
    <row r="295" spans="2:10" ht="15.75" customHeight="1" x14ac:dyDescent="0.25">
      <c r="B295" s="21">
        <f ca="1">IFERROR(__xludf.DUMMYFUNCTION("""COMPUTED_VALUE"""),44985.6666666666)</f>
        <v>44985.666666666599</v>
      </c>
      <c r="C295" s="22">
        <f ca="1">IFERROR(__xludf.DUMMYFUNCTION("""COMPUTED_VALUE"""),143.35)</f>
        <v>143.35</v>
      </c>
      <c r="D295" s="22">
        <v>96.5</v>
      </c>
      <c r="E295" s="23">
        <v>351.65</v>
      </c>
      <c r="G295" s="21">
        <f t="shared" ca="1" si="259"/>
        <v>44985.666666666599</v>
      </c>
      <c r="H295" s="19">
        <f t="shared" ref="H295:J295" ca="1" si="294">(C295/C294) - 1</f>
        <v>8.3708497467642751E-3</v>
      </c>
      <c r="I295" s="19">
        <f t="shared" si="294"/>
        <v>-2.0682523267838704E-3</v>
      </c>
      <c r="J295" s="17">
        <f t="shared" si="294"/>
        <v>-3.7972259458867952E-2</v>
      </c>
    </row>
    <row r="296" spans="2:10" ht="15.75" customHeight="1" x14ac:dyDescent="0.25">
      <c r="B296" s="21">
        <f ca="1">IFERROR(__xludf.DUMMYFUNCTION("""COMPUTED_VALUE"""),44986.6666666666)</f>
        <v>44986.666666666599</v>
      </c>
      <c r="C296" s="22">
        <f ca="1">IFERROR(__xludf.DUMMYFUNCTION("""COMPUTED_VALUE"""),142.55)</f>
        <v>142.55000000000001</v>
      </c>
      <c r="D296" s="22">
        <v>96.19</v>
      </c>
      <c r="E296" s="23">
        <v>346.23</v>
      </c>
      <c r="G296" s="21">
        <f t="shared" ca="1" si="259"/>
        <v>44986.666666666599</v>
      </c>
      <c r="H296" s="19">
        <f t="shared" ref="H296:J296" ca="1" si="295">(C296/C295) - 1</f>
        <v>-5.5807464248341931E-3</v>
      </c>
      <c r="I296" s="19">
        <f t="shared" si="295"/>
        <v>-3.2124352331606154E-3</v>
      </c>
      <c r="J296" s="17">
        <f t="shared" si="295"/>
        <v>-1.5413052751315104E-2</v>
      </c>
    </row>
    <row r="297" spans="2:10" ht="15.75" customHeight="1" x14ac:dyDescent="0.25">
      <c r="B297" s="21">
        <f ca="1">IFERROR(__xludf.DUMMYFUNCTION("""COMPUTED_VALUE"""),44987.6666666666)</f>
        <v>44987.666666666599</v>
      </c>
      <c r="C297" s="22">
        <f ca="1">IFERROR(__xludf.DUMMYFUNCTION("""COMPUTED_VALUE"""),141.07)</f>
        <v>141.07</v>
      </c>
      <c r="D297" s="22">
        <v>96.08</v>
      </c>
      <c r="E297" s="23">
        <v>349.1</v>
      </c>
      <c r="G297" s="21">
        <f t="shared" ca="1" si="259"/>
        <v>44987.666666666599</v>
      </c>
      <c r="H297" s="19">
        <f t="shared" ref="H297:J297" ca="1" si="296">(C297/C296) - 1</f>
        <v>-1.0382321992283505E-2</v>
      </c>
      <c r="I297" s="19">
        <f t="shared" si="296"/>
        <v>-1.1435700176734009E-3</v>
      </c>
      <c r="J297" s="17">
        <f t="shared" si="296"/>
        <v>8.2892874678681672E-3</v>
      </c>
    </row>
    <row r="298" spans="2:10" ht="15.75" customHeight="1" x14ac:dyDescent="0.25">
      <c r="B298" s="21">
        <f ca="1">IFERROR(__xludf.DUMMYFUNCTION("""COMPUTED_VALUE"""),44988.6666666666)</f>
        <v>44988.666666666599</v>
      </c>
      <c r="C298" s="22">
        <f ca="1">IFERROR(__xludf.DUMMYFUNCTION("""COMPUTED_VALUE"""),143.66)</f>
        <v>143.66</v>
      </c>
      <c r="D298" s="22">
        <v>98.33</v>
      </c>
      <c r="E298" s="23">
        <v>357.09</v>
      </c>
      <c r="G298" s="21">
        <f t="shared" ca="1" si="259"/>
        <v>44988.666666666599</v>
      </c>
      <c r="H298" s="19">
        <f t="shared" ref="H298:J298" ca="1" si="297">(C298/C297) - 1</f>
        <v>1.8359679591692046E-2</v>
      </c>
      <c r="I298" s="19">
        <f t="shared" si="297"/>
        <v>2.3417985012489595E-2</v>
      </c>
      <c r="J298" s="17">
        <f t="shared" si="297"/>
        <v>2.2887424806645518E-2</v>
      </c>
    </row>
    <row r="299" spans="2:10" ht="15.75" customHeight="1" x14ac:dyDescent="0.25">
      <c r="B299" s="21">
        <f ca="1">IFERROR(__xludf.DUMMYFUNCTION("""COMPUTED_VALUE"""),44991.6666666666)</f>
        <v>44991.666666666599</v>
      </c>
      <c r="C299" s="22">
        <f ca="1">IFERROR(__xludf.DUMMYFUNCTION("""COMPUTED_VALUE"""),142.82)</f>
        <v>142.82</v>
      </c>
      <c r="D299" s="22">
        <v>98.38</v>
      </c>
      <c r="E299" s="23">
        <v>357.05</v>
      </c>
      <c r="G299" s="21">
        <f t="shared" ca="1" si="259"/>
        <v>44991.666666666599</v>
      </c>
      <c r="H299" s="19">
        <f t="shared" ref="H299:J299" ca="1" si="298">(C299/C298) - 1</f>
        <v>-5.8471390783795263E-3</v>
      </c>
      <c r="I299" s="19">
        <f t="shared" si="298"/>
        <v>5.0849181328183057E-4</v>
      </c>
      <c r="J299" s="17">
        <f t="shared" si="298"/>
        <v>-1.1201657845349988E-4</v>
      </c>
    </row>
    <row r="300" spans="2:10" ht="15.75" customHeight="1" x14ac:dyDescent="0.25">
      <c r="B300" s="21">
        <f ca="1">IFERROR(__xludf.DUMMYFUNCTION("""COMPUTED_VALUE"""),44992.6666666666)</f>
        <v>44992.666666666599</v>
      </c>
      <c r="C300" s="22">
        <f ca="1">IFERROR(__xludf.DUMMYFUNCTION("""COMPUTED_VALUE"""),138.62)</f>
        <v>138.62</v>
      </c>
      <c r="D300" s="22">
        <v>96.06</v>
      </c>
      <c r="E300" s="23">
        <v>346.08</v>
      </c>
      <c r="G300" s="21">
        <f t="shared" ca="1" si="259"/>
        <v>44992.666666666599</v>
      </c>
      <c r="H300" s="19">
        <f t="shared" ref="H300:J300" ca="1" si="299">(C300/C299) - 1</f>
        <v>-2.9407645987956754E-2</v>
      </c>
      <c r="I300" s="19">
        <f t="shared" si="299"/>
        <v>-2.3582028867655924E-2</v>
      </c>
      <c r="J300" s="17">
        <f t="shared" si="299"/>
        <v>-3.0723988236941668E-2</v>
      </c>
    </row>
    <row r="301" spans="2:10" ht="15.75" customHeight="1" x14ac:dyDescent="0.25">
      <c r="B301" s="21">
        <f ca="1">IFERROR(__xludf.DUMMYFUNCTION("""COMPUTED_VALUE"""),44993.6666666666)</f>
        <v>44993.666666666599</v>
      </c>
      <c r="C301" s="22">
        <f ca="1">IFERROR(__xludf.DUMMYFUNCTION("""COMPUTED_VALUE"""),137.8)</f>
        <v>137.80000000000001</v>
      </c>
      <c r="D301" s="22">
        <v>95.9</v>
      </c>
      <c r="E301" s="23">
        <v>349.29</v>
      </c>
      <c r="G301" s="21">
        <f t="shared" ca="1" si="259"/>
        <v>44993.666666666599</v>
      </c>
      <c r="H301" s="19">
        <f t="shared" ref="H301:J301" ca="1" si="300">(C301/C300) - 1</f>
        <v>-5.915452315683134E-3</v>
      </c>
      <c r="I301" s="19">
        <f t="shared" si="300"/>
        <v>-1.6656256506349942E-3</v>
      </c>
      <c r="J301" s="17">
        <f t="shared" si="300"/>
        <v>9.2753120665742816E-3</v>
      </c>
    </row>
    <row r="302" spans="2:10" ht="15.75" customHeight="1" x14ac:dyDescent="0.25">
      <c r="B302" s="21">
        <f ca="1">IFERROR(__xludf.DUMMYFUNCTION("""COMPUTED_VALUE"""),44994.6666666666)</f>
        <v>44994.666666666599</v>
      </c>
      <c r="C302" s="22">
        <f ca="1">IFERROR(__xludf.DUMMYFUNCTION("""COMPUTED_VALUE"""),130.34)</f>
        <v>130.34</v>
      </c>
      <c r="D302" s="22">
        <v>92.2</v>
      </c>
      <c r="E302" s="23">
        <v>342.09</v>
      </c>
      <c r="G302" s="21">
        <f t="shared" ca="1" si="259"/>
        <v>44994.666666666599</v>
      </c>
      <c r="H302" s="19">
        <f t="shared" ref="H302:J302" ca="1" si="301">(C302/C301) - 1</f>
        <v>-5.4136429608127812E-2</v>
      </c>
      <c r="I302" s="19">
        <f t="shared" si="301"/>
        <v>-3.8581856100104339E-2</v>
      </c>
      <c r="J302" s="17">
        <f t="shared" si="301"/>
        <v>-2.061324400927611E-2</v>
      </c>
    </row>
    <row r="303" spans="2:10" ht="15.75" customHeight="1" x14ac:dyDescent="0.25">
      <c r="B303" s="21">
        <f ca="1">IFERROR(__xludf.DUMMYFUNCTION("""COMPUTED_VALUE"""),44995.6666666666)</f>
        <v>44995.666666666599</v>
      </c>
      <c r="C303" s="22">
        <f ca="1">IFERROR(__xludf.DUMMYFUNCTION("""COMPUTED_VALUE"""),133.65)</f>
        <v>133.65</v>
      </c>
      <c r="D303" s="22">
        <v>90.05</v>
      </c>
      <c r="E303" s="23">
        <v>327.67</v>
      </c>
      <c r="G303" s="21">
        <f t="shared" ca="1" si="259"/>
        <v>44995.666666666599</v>
      </c>
      <c r="H303" s="19">
        <f t="shared" ref="H303:J303" ca="1" si="302">(C303/C302) - 1</f>
        <v>2.5395120454196674E-2</v>
      </c>
      <c r="I303" s="19">
        <f t="shared" si="302"/>
        <v>-2.3318872017353609E-2</v>
      </c>
      <c r="J303" s="17">
        <f t="shared" si="302"/>
        <v>-4.2152649887456373E-2</v>
      </c>
    </row>
    <row r="304" spans="2:10" ht="15.75" customHeight="1" x14ac:dyDescent="0.25">
      <c r="B304" s="21">
        <f ca="1">IFERROR(__xludf.DUMMYFUNCTION("""COMPUTED_VALUE"""),44998.6666666666)</f>
        <v>44998.666666666599</v>
      </c>
      <c r="C304" s="22">
        <f ca="1">IFERROR(__xludf.DUMMYFUNCTION("""COMPUTED_VALUE"""),131.25)</f>
        <v>131.25</v>
      </c>
      <c r="D304" s="22">
        <v>87.99</v>
      </c>
      <c r="E304" s="23">
        <v>315.51</v>
      </c>
      <c r="G304" s="21">
        <f t="shared" ca="1" si="259"/>
        <v>44998.666666666599</v>
      </c>
      <c r="H304" s="19">
        <f t="shared" ref="H304:J304" ca="1" si="303">(C304/C303) - 1</f>
        <v>-1.7957351290684653E-2</v>
      </c>
      <c r="I304" s="19">
        <f t="shared" si="303"/>
        <v>-2.2876179900055527E-2</v>
      </c>
      <c r="J304" s="17">
        <f t="shared" si="303"/>
        <v>-3.7110507522812641E-2</v>
      </c>
    </row>
    <row r="305" spans="2:10" ht="15.75" customHeight="1" x14ac:dyDescent="0.25">
      <c r="B305" s="21">
        <f ca="1">IFERROR(__xludf.DUMMYFUNCTION("""COMPUTED_VALUE"""),44999.6666666666)</f>
        <v>44999.666666666599</v>
      </c>
      <c r="C305" s="22">
        <f ca="1">IFERROR(__xludf.DUMMYFUNCTION("""COMPUTED_VALUE"""),134.62)</f>
        <v>134.62</v>
      </c>
      <c r="D305" s="22">
        <v>89.97</v>
      </c>
      <c r="E305" s="23">
        <v>322.14999999999998</v>
      </c>
      <c r="G305" s="21">
        <f t="shared" ca="1" si="259"/>
        <v>44999.666666666599</v>
      </c>
      <c r="H305" s="19">
        <f t="shared" ref="H305:J305" ca="1" si="304">(C305/C304) - 1</f>
        <v>2.5676190476190408E-2</v>
      </c>
      <c r="I305" s="19">
        <f t="shared" si="304"/>
        <v>2.2502557108762478E-2</v>
      </c>
      <c r="J305" s="17">
        <f t="shared" si="304"/>
        <v>2.1045291749865358E-2</v>
      </c>
    </row>
    <row r="306" spans="2:10" ht="15.75" customHeight="1" x14ac:dyDescent="0.25">
      <c r="B306" s="21">
        <f ca="1">IFERROR(__xludf.DUMMYFUNCTION("""COMPUTED_VALUE"""),45000.6666666666)</f>
        <v>45000.666666666599</v>
      </c>
      <c r="C306" s="22">
        <f ca="1">IFERROR(__xludf.DUMMYFUNCTION("""COMPUTED_VALUE"""),128.26)</f>
        <v>128.26</v>
      </c>
      <c r="D306" s="22">
        <v>85.39</v>
      </c>
      <c r="E306" s="23">
        <v>312.19</v>
      </c>
      <c r="G306" s="21">
        <f t="shared" ca="1" si="259"/>
        <v>45000.666666666599</v>
      </c>
      <c r="H306" s="19">
        <f t="shared" ref="H306:J306" ca="1" si="305">(C306/C305) - 1</f>
        <v>-4.7244094488189115E-2</v>
      </c>
      <c r="I306" s="19">
        <f t="shared" si="305"/>
        <v>-5.0905857508058205E-2</v>
      </c>
      <c r="J306" s="17">
        <f t="shared" si="305"/>
        <v>-3.0917274561539587E-2</v>
      </c>
    </row>
    <row r="307" spans="2:10" ht="15.75" customHeight="1" x14ac:dyDescent="0.25">
      <c r="B307" s="21">
        <f ca="1">IFERROR(__xludf.DUMMYFUNCTION("""COMPUTED_VALUE"""),45001.6666666666)</f>
        <v>45001.666666666599</v>
      </c>
      <c r="C307" s="22">
        <f ca="1">IFERROR(__xludf.DUMMYFUNCTION("""COMPUTED_VALUE"""),130.75)</f>
        <v>130.75</v>
      </c>
      <c r="D307" s="22">
        <v>87.01</v>
      </c>
      <c r="E307" s="23">
        <v>315.08999999999997</v>
      </c>
      <c r="G307" s="21">
        <f t="shared" ca="1" si="259"/>
        <v>45001.666666666599</v>
      </c>
      <c r="H307" s="19">
        <f t="shared" ref="H307:J307" ca="1" si="306">(C307/C306) - 1</f>
        <v>1.9413690940277561E-2</v>
      </c>
      <c r="I307" s="19">
        <f t="shared" si="306"/>
        <v>1.8971776554631781E-2</v>
      </c>
      <c r="J307" s="17">
        <f t="shared" si="306"/>
        <v>9.2892149011818415E-3</v>
      </c>
    </row>
    <row r="308" spans="2:10" ht="15.75" customHeight="1" x14ac:dyDescent="0.25">
      <c r="B308" s="21">
        <f ca="1">IFERROR(__xludf.DUMMYFUNCTION("""COMPUTED_VALUE"""),45002.6666666666)</f>
        <v>45002.666666666599</v>
      </c>
      <c r="C308" s="22">
        <f ca="1">IFERROR(__xludf.DUMMYFUNCTION("""COMPUTED_VALUE"""),125.81)</f>
        <v>125.81</v>
      </c>
      <c r="D308" s="22">
        <v>84.18</v>
      </c>
      <c r="E308" s="23">
        <v>303.54000000000002</v>
      </c>
      <c r="G308" s="21">
        <f t="shared" ca="1" si="259"/>
        <v>45002.666666666599</v>
      </c>
      <c r="H308" s="19">
        <f t="shared" ref="H308:J308" ca="1" si="307">(C308/C307) - 1</f>
        <v>-3.7782026768642396E-2</v>
      </c>
      <c r="I308" s="19">
        <f t="shared" si="307"/>
        <v>-3.2524997126767041E-2</v>
      </c>
      <c r="J308" s="17">
        <f t="shared" si="307"/>
        <v>-3.6656193468532661E-2</v>
      </c>
    </row>
    <row r="309" spans="2:10" ht="15.75" customHeight="1" x14ac:dyDescent="0.25">
      <c r="B309" s="21">
        <f ca="1">IFERROR(__xludf.DUMMYFUNCTION("""COMPUTED_VALUE"""),45005.6666666666)</f>
        <v>45005.666666666599</v>
      </c>
      <c r="C309" s="22">
        <f ca="1">IFERROR(__xludf.DUMMYFUNCTION("""COMPUTED_VALUE"""),127.14)</f>
        <v>127.14</v>
      </c>
      <c r="D309" s="22">
        <v>85.64</v>
      </c>
      <c r="E309" s="23">
        <v>309.52999999999997</v>
      </c>
      <c r="G309" s="21">
        <f t="shared" ca="1" si="259"/>
        <v>45005.666666666599</v>
      </c>
      <c r="H309" s="19">
        <f t="shared" ref="H309:J309" ca="1" si="308">(C309/C308) - 1</f>
        <v>1.0571496701375027E-2</v>
      </c>
      <c r="I309" s="19">
        <f t="shared" si="308"/>
        <v>1.7343787122831911E-2</v>
      </c>
      <c r="J309" s="17">
        <f t="shared" si="308"/>
        <v>1.973380773538902E-2</v>
      </c>
    </row>
    <row r="310" spans="2:10" ht="15.75" customHeight="1" x14ac:dyDescent="0.25">
      <c r="B310" s="21">
        <f ca="1">IFERROR(__xludf.DUMMYFUNCTION("""COMPUTED_VALUE"""),45006.6666666666)</f>
        <v>45006.666666666599</v>
      </c>
      <c r="C310" s="22">
        <f ca="1">IFERROR(__xludf.DUMMYFUNCTION("""COMPUTED_VALUE"""),130.55)</f>
        <v>130.55000000000001</v>
      </c>
      <c r="D310" s="22">
        <v>88.76</v>
      </c>
      <c r="E310" s="23">
        <v>317.27999999999997</v>
      </c>
      <c r="G310" s="21">
        <f t="shared" ca="1" si="259"/>
        <v>45006.666666666599</v>
      </c>
      <c r="H310" s="19">
        <f t="shared" ref="H310:J310" ca="1" si="309">(C310/C309) - 1</f>
        <v>2.6820827434324457E-2</v>
      </c>
      <c r="I310" s="19">
        <f t="shared" si="309"/>
        <v>3.6431574030826752E-2</v>
      </c>
      <c r="J310" s="17">
        <f t="shared" si="309"/>
        <v>2.5037960779245916E-2</v>
      </c>
    </row>
    <row r="311" spans="2:10" ht="15.75" customHeight="1" x14ac:dyDescent="0.25">
      <c r="B311" s="21">
        <f ca="1">IFERROR(__xludf.DUMMYFUNCTION("""COMPUTED_VALUE"""),45007.6666666666)</f>
        <v>45007.666666666599</v>
      </c>
      <c r="C311" s="22">
        <f ca="1">IFERROR(__xludf.DUMMYFUNCTION("""COMPUTED_VALUE"""),127.18)</f>
        <v>127.18</v>
      </c>
      <c r="D311" s="22">
        <v>87.55</v>
      </c>
      <c r="E311" s="23">
        <v>313.67</v>
      </c>
      <c r="G311" s="21">
        <f t="shared" ca="1" si="259"/>
        <v>45007.666666666599</v>
      </c>
      <c r="H311" s="19">
        <f t="shared" ref="H311:J311" ca="1" si="310">(C311/C310) - 1</f>
        <v>-2.5813864419762522E-2</v>
      </c>
      <c r="I311" s="19">
        <f t="shared" si="310"/>
        <v>-1.3632266786841041E-2</v>
      </c>
      <c r="J311" s="17">
        <f t="shared" si="310"/>
        <v>-1.1377962682803666E-2</v>
      </c>
    </row>
    <row r="312" spans="2:10" ht="15.75" customHeight="1" x14ac:dyDescent="0.25">
      <c r="B312" s="21">
        <f ca="1">IFERROR(__xludf.DUMMYFUNCTION("""COMPUTED_VALUE"""),45008.6666666666)</f>
        <v>45008.666666666599</v>
      </c>
      <c r="C312" s="22">
        <f ca="1">IFERROR(__xludf.DUMMYFUNCTION("""COMPUTED_VALUE"""),126.84)</f>
        <v>126.84</v>
      </c>
      <c r="D312" s="22">
        <v>85.84</v>
      </c>
      <c r="E312" s="23">
        <v>314.85000000000002</v>
      </c>
      <c r="G312" s="21">
        <f t="shared" ca="1" si="259"/>
        <v>45008.666666666599</v>
      </c>
      <c r="H312" s="19">
        <f t="shared" ref="H312:J312" ca="1" si="311">(C312/C311) - 1</f>
        <v>-2.6733763170310176E-3</v>
      </c>
      <c r="I312" s="19">
        <f t="shared" si="311"/>
        <v>-1.9531696173615054E-2</v>
      </c>
      <c r="J312" s="17">
        <f t="shared" si="311"/>
        <v>3.7619153887844536E-3</v>
      </c>
    </row>
    <row r="313" spans="2:10" ht="15.75" customHeight="1" x14ac:dyDescent="0.25">
      <c r="B313" s="21">
        <f ca="1">IFERROR(__xludf.DUMMYFUNCTION("""COMPUTED_VALUE"""),45009.6666666666)</f>
        <v>45009.666666666599</v>
      </c>
      <c r="C313" s="22">
        <f ca="1">IFERROR(__xludf.DUMMYFUNCTION("""COMPUTED_VALUE"""),124.91)</f>
        <v>124.91</v>
      </c>
      <c r="D313" s="22">
        <v>83.95</v>
      </c>
      <c r="E313" s="23">
        <v>312.57</v>
      </c>
      <c r="G313" s="21">
        <f t="shared" ca="1" si="259"/>
        <v>45009.666666666599</v>
      </c>
      <c r="H313" s="19">
        <f t="shared" ref="H313:J313" ca="1" si="312">(C313/C312) - 1</f>
        <v>-1.5216020182907686E-2</v>
      </c>
      <c r="I313" s="19">
        <f t="shared" si="312"/>
        <v>-2.2017707362534944E-2</v>
      </c>
      <c r="J313" s="17">
        <f t="shared" si="312"/>
        <v>-7.241543592186872E-3</v>
      </c>
    </row>
    <row r="314" spans="2:10" ht="15.75" customHeight="1" x14ac:dyDescent="0.25">
      <c r="B314" s="21">
        <f ca="1">IFERROR(__xludf.DUMMYFUNCTION("""COMPUTED_VALUE"""),45012.6666666666)</f>
        <v>45012.666666666599</v>
      </c>
      <c r="C314" s="22">
        <f ca="1">IFERROR(__xludf.DUMMYFUNCTION("""COMPUTED_VALUE"""),128.49)</f>
        <v>128.49</v>
      </c>
      <c r="D314" s="22">
        <v>84.64</v>
      </c>
      <c r="E314" s="23">
        <v>318.52999999999997</v>
      </c>
      <c r="G314" s="21">
        <f t="shared" ca="1" si="259"/>
        <v>45012.666666666599</v>
      </c>
      <c r="H314" s="19">
        <f t="shared" ref="H314:J314" ca="1" si="313">(C314/C313) - 1</f>
        <v>2.8660635657673517E-2</v>
      </c>
      <c r="I314" s="19">
        <f t="shared" si="313"/>
        <v>8.2191780821918581E-3</v>
      </c>
      <c r="J314" s="17">
        <f t="shared" si="313"/>
        <v>1.9067728828742192E-2</v>
      </c>
    </row>
    <row r="315" spans="2:10" ht="15.75" customHeight="1" x14ac:dyDescent="0.25">
      <c r="B315" s="21">
        <f ca="1">IFERROR(__xludf.DUMMYFUNCTION("""COMPUTED_VALUE"""),45013.6666666666)</f>
        <v>45013.666666666599</v>
      </c>
      <c r="C315" s="22">
        <f ca="1">IFERROR(__xludf.DUMMYFUNCTION("""COMPUTED_VALUE"""),128.88)</f>
        <v>128.88</v>
      </c>
      <c r="D315" s="22">
        <v>84.88</v>
      </c>
      <c r="E315" s="23">
        <v>318.44</v>
      </c>
      <c r="G315" s="21">
        <f t="shared" ca="1" si="259"/>
        <v>45013.666666666599</v>
      </c>
      <c r="H315" s="19">
        <f t="shared" ref="H315:J315" ca="1" si="314">(C315/C314) - 1</f>
        <v>3.0352556619190896E-3</v>
      </c>
      <c r="I315" s="19">
        <f t="shared" si="314"/>
        <v>2.835538752362865E-3</v>
      </c>
      <c r="J315" s="17">
        <f t="shared" si="314"/>
        <v>-2.825479546666454E-4</v>
      </c>
    </row>
    <row r="316" spans="2:10" ht="15.75" customHeight="1" x14ac:dyDescent="0.25">
      <c r="B316" s="21">
        <f ca="1">IFERROR(__xludf.DUMMYFUNCTION("""COMPUTED_VALUE"""),45014.6666666666)</f>
        <v>45014.666666666599</v>
      </c>
      <c r="C316" s="22">
        <f ca="1">IFERROR(__xludf.DUMMYFUNCTION("""COMPUTED_VALUE"""),129.14)</f>
        <v>129.13999999999999</v>
      </c>
      <c r="D316" s="22">
        <v>86.24</v>
      </c>
      <c r="E316" s="23">
        <v>320.72000000000003</v>
      </c>
      <c r="G316" s="21">
        <f t="shared" ca="1" si="259"/>
        <v>45014.666666666599</v>
      </c>
      <c r="H316" s="19">
        <f t="shared" ref="H316:J316" ca="1" si="315">(C316/C315) - 1</f>
        <v>2.0173805090004659E-3</v>
      </c>
      <c r="I316" s="19">
        <f t="shared" si="315"/>
        <v>1.6022620169651169E-2</v>
      </c>
      <c r="J316" s="17">
        <f t="shared" si="315"/>
        <v>7.1599045346062429E-3</v>
      </c>
    </row>
    <row r="317" spans="2:10" ht="15.75" customHeight="1" x14ac:dyDescent="0.25">
      <c r="B317" s="21">
        <f ca="1">IFERROR(__xludf.DUMMYFUNCTION("""COMPUTED_VALUE"""),45015.6666666666)</f>
        <v>45015.666666666599</v>
      </c>
      <c r="C317" s="22">
        <f ca="1">IFERROR(__xludf.DUMMYFUNCTION("""COMPUTED_VALUE"""),128.75)</f>
        <v>128.75</v>
      </c>
      <c r="D317" s="22">
        <v>86.11</v>
      </c>
      <c r="E317" s="23">
        <v>321.14</v>
      </c>
      <c r="G317" s="21">
        <f t="shared" ca="1" si="259"/>
        <v>45015.666666666599</v>
      </c>
      <c r="H317" s="19">
        <f t="shared" ref="H317:J317" ca="1" si="316">(C317/C316) - 1</f>
        <v>-3.0199783181042994E-3</v>
      </c>
      <c r="I317" s="19">
        <f t="shared" si="316"/>
        <v>-1.5074211502782431E-3</v>
      </c>
      <c r="J317" s="17">
        <f t="shared" si="316"/>
        <v>1.3095535046145912E-3</v>
      </c>
    </row>
    <row r="318" spans="2:10" ht="15.75" customHeight="1" x14ac:dyDescent="0.25">
      <c r="B318" s="21">
        <f ca="1">IFERROR(__xludf.DUMMYFUNCTION("""COMPUTED_VALUE"""),45016.6666666666)</f>
        <v>45016.666666666599</v>
      </c>
      <c r="C318" s="22">
        <f ca="1">IFERROR(__xludf.DUMMYFUNCTION("""COMPUTED_VALUE"""),130.31)</f>
        <v>130.31</v>
      </c>
      <c r="D318" s="22">
        <v>87.8</v>
      </c>
      <c r="E318" s="23">
        <v>327.11</v>
      </c>
      <c r="G318" s="21">
        <f t="shared" ca="1" si="259"/>
        <v>45016.666666666599</v>
      </c>
      <c r="H318" s="19">
        <f t="shared" ref="H318:J318" ca="1" si="317">(C318/C317) - 1</f>
        <v>1.2116504854368992E-2</v>
      </c>
      <c r="I318" s="19">
        <f t="shared" si="317"/>
        <v>1.9626059691092657E-2</v>
      </c>
      <c r="J318" s="17">
        <f t="shared" si="317"/>
        <v>1.8590023042909687E-2</v>
      </c>
    </row>
    <row r="319" spans="2:10" ht="15.75" customHeight="1" x14ac:dyDescent="0.25">
      <c r="B319" s="21">
        <f ca="1">IFERROR(__xludf.DUMMYFUNCTION("""COMPUTED_VALUE"""),45019.6666666666)</f>
        <v>45019.666666666599</v>
      </c>
      <c r="C319" s="22">
        <f ca="1">IFERROR(__xludf.DUMMYFUNCTION("""COMPUTED_VALUE"""),130.16)</f>
        <v>130.16</v>
      </c>
      <c r="D319" s="22">
        <v>87.16</v>
      </c>
      <c r="E319" s="23">
        <v>326.52</v>
      </c>
      <c r="G319" s="21">
        <f t="shared" ca="1" si="259"/>
        <v>45019.666666666599</v>
      </c>
      <c r="H319" s="19">
        <f t="shared" ref="H319:J319" ca="1" si="318">(C319/C318) - 1</f>
        <v>-1.151101220167372E-3</v>
      </c>
      <c r="I319" s="19">
        <f t="shared" si="318"/>
        <v>-7.2892938496583737E-3</v>
      </c>
      <c r="J319" s="17">
        <f t="shared" si="318"/>
        <v>-1.8036746048730734E-3</v>
      </c>
    </row>
    <row r="320" spans="2:10" ht="15.75" customHeight="1" x14ac:dyDescent="0.25">
      <c r="B320" s="21">
        <f ca="1">IFERROR(__xludf.DUMMYFUNCTION("""COMPUTED_VALUE"""),45020.6666666666)</f>
        <v>45020.666666666599</v>
      </c>
      <c r="C320" s="22">
        <f ca="1">IFERROR(__xludf.DUMMYFUNCTION("""COMPUTED_VALUE"""),128.42)</f>
        <v>128.41999999999999</v>
      </c>
      <c r="D320" s="22">
        <v>84.82</v>
      </c>
      <c r="E320" s="23">
        <v>322.64999999999998</v>
      </c>
      <c r="G320" s="21">
        <f t="shared" ca="1" si="259"/>
        <v>45020.666666666599</v>
      </c>
      <c r="H320" s="19">
        <f t="shared" ref="H320:J320" ca="1" si="319">(C320/C319) - 1</f>
        <v>-1.3368162261831684E-2</v>
      </c>
      <c r="I320" s="19">
        <f t="shared" si="319"/>
        <v>-2.6847177604405692E-2</v>
      </c>
      <c r="J320" s="17">
        <f t="shared" si="319"/>
        <v>-1.1852260198456421E-2</v>
      </c>
    </row>
    <row r="321" spans="2:10" ht="15.75" customHeight="1" x14ac:dyDescent="0.25">
      <c r="B321" s="21">
        <f ca="1">IFERROR(__xludf.DUMMYFUNCTION("""COMPUTED_VALUE"""),45021.6666666666)</f>
        <v>45021.666666666599</v>
      </c>
      <c r="C321" s="22">
        <f ca="1">IFERROR(__xludf.DUMMYFUNCTION("""COMPUTED_VALUE"""),127.61)</f>
        <v>127.61</v>
      </c>
      <c r="D321" s="22">
        <v>83.82</v>
      </c>
      <c r="E321" s="23">
        <v>321.52999999999997</v>
      </c>
      <c r="G321" s="21">
        <f t="shared" ca="1" si="259"/>
        <v>45021.666666666599</v>
      </c>
      <c r="H321" s="19">
        <f t="shared" ref="H321:J321" ca="1" si="320">(C321/C320) - 1</f>
        <v>-6.307428749415922E-3</v>
      </c>
      <c r="I321" s="19">
        <f t="shared" si="320"/>
        <v>-1.1789672247111582E-2</v>
      </c>
      <c r="J321" s="17">
        <f t="shared" si="320"/>
        <v>-3.4712536804587524E-3</v>
      </c>
    </row>
    <row r="322" spans="2:10" ht="15.75" customHeight="1" x14ac:dyDescent="0.25">
      <c r="B322" s="21">
        <f ca="1">IFERROR(__xludf.DUMMYFUNCTION("""COMPUTED_VALUE"""),45022.6666666666)</f>
        <v>45022.666666666599</v>
      </c>
      <c r="C322" s="22">
        <f ca="1">IFERROR(__xludf.DUMMYFUNCTION("""COMPUTED_VALUE"""),127.47)</f>
        <v>127.47</v>
      </c>
      <c r="D322" s="22">
        <v>84.19</v>
      </c>
      <c r="E322" s="23">
        <v>322.39999999999998</v>
      </c>
      <c r="G322" s="21">
        <f t="shared" ca="1" si="259"/>
        <v>45022.666666666599</v>
      </c>
      <c r="H322" s="19">
        <f t="shared" ref="H322:J322" ca="1" si="321">(C322/C321) - 1</f>
        <v>-1.0970927043335577E-3</v>
      </c>
      <c r="I322" s="19">
        <f t="shared" si="321"/>
        <v>4.4142209496540463E-3</v>
      </c>
      <c r="J322" s="17">
        <f t="shared" si="321"/>
        <v>2.7058128323951269E-3</v>
      </c>
    </row>
    <row r="323" spans="2:10" ht="15.75" customHeight="1" x14ac:dyDescent="0.25">
      <c r="B323" s="21">
        <f ca="1">IFERROR(__xludf.DUMMYFUNCTION("""COMPUTED_VALUE"""),45026.6666666666)</f>
        <v>45026.666666666599</v>
      </c>
      <c r="C323" s="22">
        <f ca="1">IFERROR(__xludf.DUMMYFUNCTION("""COMPUTED_VALUE"""),127.89)</f>
        <v>127.89</v>
      </c>
      <c r="D323" s="22">
        <v>84</v>
      </c>
      <c r="E323" s="23">
        <v>324.95999999999998</v>
      </c>
      <c r="G323" s="21">
        <f t="shared" ca="1" si="259"/>
        <v>45026.666666666599</v>
      </c>
      <c r="H323" s="19">
        <f t="shared" ref="H323:J323" ca="1" si="322">(C323/C322) - 1</f>
        <v>3.2948929159801743E-3</v>
      </c>
      <c r="I323" s="19">
        <f t="shared" si="322"/>
        <v>-2.2568000950231593E-3</v>
      </c>
      <c r="J323" s="17">
        <f t="shared" si="322"/>
        <v>7.9404466501240556E-3</v>
      </c>
    </row>
    <row r="324" spans="2:10" ht="15.75" customHeight="1" x14ac:dyDescent="0.25">
      <c r="B324" s="21">
        <f ca="1">IFERROR(__xludf.DUMMYFUNCTION("""COMPUTED_VALUE"""),45027.6666666666)</f>
        <v>45027.666666666599</v>
      </c>
      <c r="C324" s="22">
        <f ca="1">IFERROR(__xludf.DUMMYFUNCTION("""COMPUTED_VALUE"""),128.52)</f>
        <v>128.52000000000001</v>
      </c>
      <c r="D324" s="22">
        <v>85.09</v>
      </c>
      <c r="E324" s="23">
        <v>327.37</v>
      </c>
      <c r="G324" s="21">
        <f t="shared" ca="1" si="259"/>
        <v>45027.666666666599</v>
      </c>
      <c r="H324" s="19">
        <f t="shared" ref="H324:J324" ca="1" si="323">(C324/C323) - 1</f>
        <v>4.9261083743843415E-3</v>
      </c>
      <c r="I324" s="19">
        <f t="shared" si="323"/>
        <v>1.2976190476190474E-2</v>
      </c>
      <c r="J324" s="17">
        <f t="shared" si="323"/>
        <v>7.4162973904481344E-3</v>
      </c>
    </row>
    <row r="325" spans="2:10" ht="15.75" customHeight="1" x14ac:dyDescent="0.25">
      <c r="B325" s="21">
        <f ca="1">IFERROR(__xludf.DUMMYFUNCTION("""COMPUTED_VALUE"""),45028.6666666666)</f>
        <v>45028.666666666599</v>
      </c>
      <c r="C325" s="22">
        <f ca="1">IFERROR(__xludf.DUMMYFUNCTION("""COMPUTED_VALUE"""),128.5)</f>
        <v>128.5</v>
      </c>
      <c r="D325" s="22">
        <v>85.47</v>
      </c>
      <c r="E325" s="23">
        <v>330.24</v>
      </c>
      <c r="G325" s="21">
        <f t="shared" ca="1" si="259"/>
        <v>45028.666666666599</v>
      </c>
      <c r="H325" s="19">
        <f t="shared" ref="H325:J325" ca="1" si="324">(C325/C324) - 1</f>
        <v>-1.5561780267669967E-4</v>
      </c>
      <c r="I325" s="19">
        <f t="shared" si="324"/>
        <v>4.465859677987849E-3</v>
      </c>
      <c r="J325" s="17">
        <f t="shared" si="324"/>
        <v>8.7668387451507179E-3</v>
      </c>
    </row>
    <row r="326" spans="2:10" ht="15.75" customHeight="1" x14ac:dyDescent="0.25">
      <c r="B326" s="21">
        <f ca="1">IFERROR(__xludf.DUMMYFUNCTION("""COMPUTED_VALUE"""),45029.6666666666)</f>
        <v>45029.666666666599</v>
      </c>
      <c r="C326" s="22">
        <f ca="1">IFERROR(__xludf.DUMMYFUNCTION("""COMPUTED_VALUE"""),128.99)</f>
        <v>128.99</v>
      </c>
      <c r="D326" s="22">
        <v>85.69</v>
      </c>
      <c r="E326" s="23">
        <v>332.13</v>
      </c>
      <c r="G326" s="21">
        <f t="shared" ca="1" si="259"/>
        <v>45029.666666666599</v>
      </c>
      <c r="H326" s="19">
        <f t="shared" ref="H326:J326" ca="1" si="325">(C326/C325) - 1</f>
        <v>3.8132295719845999E-3</v>
      </c>
      <c r="I326" s="19">
        <f t="shared" si="325"/>
        <v>2.5740025740026429E-3</v>
      </c>
      <c r="J326" s="17">
        <f t="shared" si="325"/>
        <v>5.7231104651163101E-3</v>
      </c>
    </row>
    <row r="327" spans="2:10" ht="15.75" customHeight="1" x14ac:dyDescent="0.25">
      <c r="B327" s="21">
        <f ca="1">IFERROR(__xludf.DUMMYFUNCTION("""COMPUTED_VALUE"""),45030.6666666666)</f>
        <v>45030.666666666599</v>
      </c>
      <c r="C327" s="22">
        <f ca="1">IFERROR(__xludf.DUMMYFUNCTION("""COMPUTED_VALUE"""),138.73)</f>
        <v>138.72999999999999</v>
      </c>
      <c r="D327" s="22">
        <v>86.71</v>
      </c>
      <c r="E327" s="23">
        <v>336.92</v>
      </c>
      <c r="G327" s="21">
        <f t="shared" ca="1" si="259"/>
        <v>45030.666666666599</v>
      </c>
      <c r="H327" s="19">
        <f t="shared" ref="H327:J327" ca="1" si="326">(C327/C326) - 1</f>
        <v>7.5509729436390227E-2</v>
      </c>
      <c r="I327" s="19">
        <f t="shared" si="326"/>
        <v>1.1903372622242836E-2</v>
      </c>
      <c r="J327" s="17">
        <f t="shared" si="326"/>
        <v>1.4422063649775829E-2</v>
      </c>
    </row>
    <row r="328" spans="2:10" ht="15.75" customHeight="1" x14ac:dyDescent="0.25">
      <c r="B328" s="21">
        <f ca="1">IFERROR(__xludf.DUMMYFUNCTION("""COMPUTED_VALUE"""),45033.6666666666)</f>
        <v>45033.666666666599</v>
      </c>
      <c r="C328" s="22">
        <f ca="1">IFERROR(__xludf.DUMMYFUNCTION("""COMPUTED_VALUE"""),139.83)</f>
        <v>139.83000000000001</v>
      </c>
      <c r="D328" s="22">
        <v>89.29</v>
      </c>
      <c r="E328" s="23">
        <v>339.68</v>
      </c>
      <c r="G328" s="21">
        <f t="shared" ca="1" si="259"/>
        <v>45033.666666666599</v>
      </c>
      <c r="H328" s="19">
        <f t="shared" ref="H328:J328" ca="1" si="327">(C328/C327) - 1</f>
        <v>7.9290708570607382E-3</v>
      </c>
      <c r="I328" s="19">
        <f t="shared" si="327"/>
        <v>2.9754353592434724E-2</v>
      </c>
      <c r="J328" s="17">
        <f t="shared" si="327"/>
        <v>8.1918556333846482E-3</v>
      </c>
    </row>
    <row r="329" spans="2:10" ht="15.75" customHeight="1" x14ac:dyDescent="0.25">
      <c r="B329" s="21">
        <f ca="1">IFERROR(__xludf.DUMMYFUNCTION("""COMPUTED_VALUE"""),45034.6666666666)</f>
        <v>45034.666666666599</v>
      </c>
      <c r="C329" s="22">
        <f ca="1">IFERROR(__xludf.DUMMYFUNCTION("""COMPUTED_VALUE"""),141.4)</f>
        <v>141.4</v>
      </c>
      <c r="D329" s="22">
        <v>89.85</v>
      </c>
      <c r="E329" s="23">
        <v>333.91</v>
      </c>
      <c r="G329" s="21">
        <f t="shared" ca="1" si="259"/>
        <v>45034.666666666599</v>
      </c>
      <c r="H329" s="19">
        <f t="shared" ref="H329:J329" ca="1" si="328">(C329/C328) - 1</f>
        <v>1.1227919616677351E-2</v>
      </c>
      <c r="I329" s="19">
        <f t="shared" si="328"/>
        <v>6.2716989584499228E-3</v>
      </c>
      <c r="J329" s="17">
        <f t="shared" si="328"/>
        <v>-1.6986575600565157E-2</v>
      </c>
    </row>
    <row r="330" spans="2:10" ht="15.75" customHeight="1" x14ac:dyDescent="0.25">
      <c r="B330" s="21">
        <f ca="1">IFERROR(__xludf.DUMMYFUNCTION("""COMPUTED_VALUE"""),45035.6666666666)</f>
        <v>45035.666666666599</v>
      </c>
      <c r="C330" s="22">
        <f ca="1">IFERROR(__xludf.DUMMYFUNCTION("""COMPUTED_VALUE"""),141.22)</f>
        <v>141.22</v>
      </c>
      <c r="D330" s="22">
        <v>90.45</v>
      </c>
      <c r="E330" s="23">
        <v>336.89</v>
      </c>
      <c r="G330" s="21">
        <f t="shared" ca="1" si="259"/>
        <v>45035.666666666599</v>
      </c>
      <c r="H330" s="19">
        <f t="shared" ref="H330:J330" ca="1" si="329">(C330/C329) - 1</f>
        <v>-1.2729844413013058E-3</v>
      </c>
      <c r="I330" s="19">
        <f t="shared" si="329"/>
        <v>6.6777963272122154E-3</v>
      </c>
      <c r="J330" s="17">
        <f t="shared" si="329"/>
        <v>8.9245605103169812E-3</v>
      </c>
    </row>
    <row r="331" spans="2:10" ht="15.75" customHeight="1" x14ac:dyDescent="0.25">
      <c r="B331" s="21">
        <f ca="1">IFERROR(__xludf.DUMMYFUNCTION("""COMPUTED_VALUE"""),45036.6666666666)</f>
        <v>45036.666666666599</v>
      </c>
      <c r="C331" s="22">
        <f ca="1">IFERROR(__xludf.DUMMYFUNCTION("""COMPUTED_VALUE"""),140.81)</f>
        <v>140.81</v>
      </c>
      <c r="D331" s="22">
        <v>90.43</v>
      </c>
      <c r="E331" s="23">
        <v>338.71</v>
      </c>
      <c r="G331" s="21">
        <f t="shared" ca="1" si="259"/>
        <v>45036.666666666599</v>
      </c>
      <c r="H331" s="19">
        <f t="shared" ref="H331:J331" ca="1" si="330">(C331/C330) - 1</f>
        <v>-2.9032714912902158E-3</v>
      </c>
      <c r="I331" s="19">
        <f t="shared" si="330"/>
        <v>-2.2111663902701917E-4</v>
      </c>
      <c r="J331" s="17">
        <f t="shared" si="330"/>
        <v>5.402356852385104E-3</v>
      </c>
    </row>
    <row r="332" spans="2:10" ht="15.75" customHeight="1" x14ac:dyDescent="0.25">
      <c r="B332" s="21">
        <f ca="1">IFERROR(__xludf.DUMMYFUNCTION("""COMPUTED_VALUE"""),45037.6666666666)</f>
        <v>45037.666666666599</v>
      </c>
      <c r="C332" s="22">
        <f ca="1">IFERROR(__xludf.DUMMYFUNCTION("""COMPUTED_VALUE"""),140.54)</f>
        <v>140.54</v>
      </c>
      <c r="D332" s="22">
        <v>91.12</v>
      </c>
      <c r="E332" s="23">
        <v>341.66</v>
      </c>
      <c r="G332" s="21">
        <f t="shared" ca="1" si="259"/>
        <v>45037.666666666599</v>
      </c>
      <c r="H332" s="19">
        <f t="shared" ref="H332:J332" ca="1" si="331">(C332/C331) - 1</f>
        <v>-1.9174774518856408E-3</v>
      </c>
      <c r="I332" s="19">
        <f t="shared" si="331"/>
        <v>7.6302112130930411E-3</v>
      </c>
      <c r="J332" s="17">
        <f t="shared" si="331"/>
        <v>8.7095155147471903E-3</v>
      </c>
    </row>
    <row r="333" spans="2:10" ht="15.75" customHeight="1" x14ac:dyDescent="0.25">
      <c r="B333" s="21">
        <f ca="1">IFERROR(__xludf.DUMMYFUNCTION("""COMPUTED_VALUE"""),45040.6666666666)</f>
        <v>45040.666666666599</v>
      </c>
      <c r="C333" s="22">
        <f ca="1">IFERROR(__xludf.DUMMYFUNCTION("""COMPUTED_VALUE"""),140.73)</f>
        <v>140.72999999999999</v>
      </c>
      <c r="D333" s="22">
        <v>90.2</v>
      </c>
      <c r="E333" s="23">
        <v>343.96</v>
      </c>
      <c r="G333" s="21">
        <f t="shared" ca="1" si="259"/>
        <v>45040.666666666599</v>
      </c>
      <c r="H333" s="19">
        <f t="shared" ref="H333:J333" ca="1" si="332">(C333/C332) - 1</f>
        <v>1.3519282766472074E-3</v>
      </c>
      <c r="I333" s="19">
        <f t="shared" si="332"/>
        <v>-1.0096575943810415E-2</v>
      </c>
      <c r="J333" s="17">
        <f t="shared" si="332"/>
        <v>6.731838670022805E-3</v>
      </c>
    </row>
    <row r="334" spans="2:10" ht="15.75" customHeight="1" x14ac:dyDescent="0.25">
      <c r="B334" s="21">
        <f ca="1">IFERROR(__xludf.DUMMYFUNCTION("""COMPUTED_VALUE"""),45041.6666666666)</f>
        <v>45041.666666666599</v>
      </c>
      <c r="C334" s="22">
        <f ca="1">IFERROR(__xludf.DUMMYFUNCTION("""COMPUTED_VALUE"""),137.67)</f>
        <v>137.66999999999999</v>
      </c>
      <c r="D334" s="22">
        <v>88.06</v>
      </c>
      <c r="E334" s="23">
        <v>339.48</v>
      </c>
      <c r="G334" s="21">
        <f t="shared" ca="1" si="259"/>
        <v>45041.666666666599</v>
      </c>
      <c r="H334" s="19">
        <f t="shared" ref="H334:J334" ca="1" si="333">(C334/C333) - 1</f>
        <v>-2.1743764655723696E-2</v>
      </c>
      <c r="I334" s="19">
        <f t="shared" si="333"/>
        <v>-2.3725055432372466E-2</v>
      </c>
      <c r="J334" s="17">
        <f t="shared" si="333"/>
        <v>-1.3024770322130341E-2</v>
      </c>
    </row>
    <row r="335" spans="2:10" ht="15.75" customHeight="1" x14ac:dyDescent="0.25">
      <c r="B335" s="21">
        <f ca="1">IFERROR(__xludf.DUMMYFUNCTION("""COMPUTED_VALUE"""),45042.6666666666)</f>
        <v>45042.666666666599</v>
      </c>
      <c r="C335" s="22">
        <f ca="1">IFERROR(__xludf.DUMMYFUNCTION("""COMPUTED_VALUE"""),135.23)</f>
        <v>135.22999999999999</v>
      </c>
      <c r="D335" s="22">
        <v>88.44</v>
      </c>
      <c r="E335" s="23">
        <v>336.56</v>
      </c>
      <c r="G335" s="21">
        <f t="shared" ca="1" si="259"/>
        <v>45042.666666666599</v>
      </c>
      <c r="H335" s="19">
        <f t="shared" ref="H335:J335" ca="1" si="334">(C335/C334) - 1</f>
        <v>-1.7723541802861953E-2</v>
      </c>
      <c r="I335" s="19">
        <f t="shared" si="334"/>
        <v>4.3152396093573131E-3</v>
      </c>
      <c r="J335" s="17">
        <f t="shared" si="334"/>
        <v>-8.6013903617297993E-3</v>
      </c>
    </row>
    <row r="336" spans="2:10" ht="15.75" customHeight="1" x14ac:dyDescent="0.25">
      <c r="B336" s="21">
        <f ca="1">IFERROR(__xludf.DUMMYFUNCTION("""COMPUTED_VALUE"""),45043.6666666666)</f>
        <v>45043.666666666599</v>
      </c>
      <c r="C336" s="22">
        <f ca="1">IFERROR(__xludf.DUMMYFUNCTION("""COMPUTED_VALUE"""),137.05)</f>
        <v>137.05000000000001</v>
      </c>
      <c r="D336" s="22">
        <v>90.26</v>
      </c>
      <c r="E336" s="23">
        <v>341.6</v>
      </c>
      <c r="G336" s="21">
        <f t="shared" ca="1" si="259"/>
        <v>45043.666666666599</v>
      </c>
      <c r="H336" s="19">
        <f t="shared" ref="H336:J336" ca="1" si="335">(C336/C335) - 1</f>
        <v>1.3458552096428544E-2</v>
      </c>
      <c r="I336" s="19">
        <f t="shared" si="335"/>
        <v>2.0578923563998375E-2</v>
      </c>
      <c r="J336" s="17">
        <f t="shared" si="335"/>
        <v>1.4975041597337757E-2</v>
      </c>
    </row>
    <row r="337" spans="2:10" ht="15.75" customHeight="1" x14ac:dyDescent="0.25">
      <c r="B337" s="21">
        <f ca="1">IFERROR(__xludf.DUMMYFUNCTION("""COMPUTED_VALUE"""),45044.6666666666)</f>
        <v>45044.666666666599</v>
      </c>
      <c r="C337" s="22">
        <f ca="1">IFERROR(__xludf.DUMMYFUNCTION("""COMPUTED_VALUE"""),138.24)</f>
        <v>138.24</v>
      </c>
      <c r="D337" s="22">
        <v>89.97</v>
      </c>
      <c r="E337" s="23">
        <v>343.44</v>
      </c>
      <c r="G337" s="21">
        <f t="shared" ca="1" si="259"/>
        <v>45044.666666666599</v>
      </c>
      <c r="H337" s="19">
        <f t="shared" ref="H337:J337" ca="1" si="336">(C337/C336) - 1</f>
        <v>8.6829624224735724E-3</v>
      </c>
      <c r="I337" s="19">
        <f t="shared" si="336"/>
        <v>-3.2129403944162194E-3</v>
      </c>
      <c r="J337" s="17">
        <f t="shared" si="336"/>
        <v>5.3864168618267261E-3</v>
      </c>
    </row>
    <row r="338" spans="2:10" ht="15.75" customHeight="1" x14ac:dyDescent="0.25">
      <c r="B338" s="21">
        <f ca="1">IFERROR(__xludf.DUMMYFUNCTION("""COMPUTED_VALUE"""),45047.6666666666)</f>
        <v>45047.666666666599</v>
      </c>
      <c r="C338" s="22">
        <f ca="1">IFERROR(__xludf.DUMMYFUNCTION("""COMPUTED_VALUE"""),141.2)</f>
        <v>141.19999999999999</v>
      </c>
      <c r="D338" s="22">
        <v>87.93</v>
      </c>
      <c r="E338" s="23">
        <v>340.57</v>
      </c>
      <c r="G338" s="21">
        <f t="shared" ca="1" si="259"/>
        <v>45047.666666666599</v>
      </c>
      <c r="H338" s="19">
        <f t="shared" ref="H338:J338" ca="1" si="337">(C338/C337) - 1</f>
        <v>2.1412037037036979E-2</v>
      </c>
      <c r="I338" s="19">
        <f t="shared" si="337"/>
        <v>-2.2674224741580429E-2</v>
      </c>
      <c r="J338" s="17">
        <f t="shared" si="337"/>
        <v>-8.3566270673188781E-3</v>
      </c>
    </row>
    <row r="339" spans="2:10" ht="15.75" customHeight="1" x14ac:dyDescent="0.25">
      <c r="B339" s="21">
        <f ca="1">IFERROR(__xludf.DUMMYFUNCTION("""COMPUTED_VALUE"""),45048.6666666666)</f>
        <v>45048.666666666599</v>
      </c>
      <c r="C339" s="22">
        <f ca="1">IFERROR(__xludf.DUMMYFUNCTION("""COMPUTED_VALUE"""),138.92)</f>
        <v>138.91999999999999</v>
      </c>
      <c r="D339" s="22">
        <v>86.29</v>
      </c>
      <c r="E339" s="23">
        <v>333.37</v>
      </c>
      <c r="G339" s="21">
        <f t="shared" ca="1" si="259"/>
        <v>45048.666666666599</v>
      </c>
      <c r="H339" s="19">
        <f t="shared" ref="H339:J339" ca="1" si="338">(C339/C338) - 1</f>
        <v>-1.6147308781869651E-2</v>
      </c>
      <c r="I339" s="19">
        <f t="shared" si="338"/>
        <v>-1.865119981803709E-2</v>
      </c>
      <c r="J339" s="17">
        <f t="shared" si="338"/>
        <v>-2.1141028276125295E-2</v>
      </c>
    </row>
    <row r="340" spans="2:10" ht="15.75" customHeight="1" x14ac:dyDescent="0.25">
      <c r="B340" s="21">
        <f ca="1">IFERROR(__xludf.DUMMYFUNCTION("""COMPUTED_VALUE"""),45049.6666666666)</f>
        <v>45049.666666666599</v>
      </c>
      <c r="C340" s="22">
        <f ca="1">IFERROR(__xludf.DUMMYFUNCTION("""COMPUTED_VALUE"""),135.98)</f>
        <v>135.97999999999999</v>
      </c>
      <c r="D340" s="22">
        <v>84.75</v>
      </c>
      <c r="E340" s="23">
        <v>328.65</v>
      </c>
      <c r="G340" s="21">
        <f t="shared" ca="1" si="259"/>
        <v>45049.666666666599</v>
      </c>
      <c r="H340" s="19">
        <f t="shared" ref="H340:J340" ca="1" si="339">(C340/C339) - 1</f>
        <v>-2.1163259429887726E-2</v>
      </c>
      <c r="I340" s="19">
        <f t="shared" si="339"/>
        <v>-1.7846795688955863E-2</v>
      </c>
      <c r="J340" s="17">
        <f t="shared" si="339"/>
        <v>-1.4158442571317265E-2</v>
      </c>
    </row>
    <row r="341" spans="2:10" ht="15.75" customHeight="1" x14ac:dyDescent="0.25">
      <c r="B341" s="21">
        <f ca="1">IFERROR(__xludf.DUMMYFUNCTION("""COMPUTED_VALUE"""),45050.6666666666)</f>
        <v>45050.666666666599</v>
      </c>
      <c r="C341" s="22">
        <f ca="1">IFERROR(__xludf.DUMMYFUNCTION("""COMPUTED_VALUE"""),134.12)</f>
        <v>134.12</v>
      </c>
      <c r="D341" s="22">
        <v>82.61</v>
      </c>
      <c r="E341" s="23">
        <v>321.26</v>
      </c>
      <c r="G341" s="21">
        <f t="shared" ca="1" si="259"/>
        <v>45050.666666666599</v>
      </c>
      <c r="H341" s="19">
        <f t="shared" ref="H341:J341" ca="1" si="340">(C341/C340) - 1</f>
        <v>-1.3678482129724889E-2</v>
      </c>
      <c r="I341" s="19">
        <f t="shared" si="340"/>
        <v>-2.5250737463126893E-2</v>
      </c>
      <c r="J341" s="17">
        <f t="shared" si="340"/>
        <v>-2.2485927278259488E-2</v>
      </c>
    </row>
    <row r="342" spans="2:10" ht="15.75" customHeight="1" x14ac:dyDescent="0.25">
      <c r="B342" s="21">
        <f ca="1">IFERROR(__xludf.DUMMYFUNCTION("""COMPUTED_VALUE"""),45051.6666666666)</f>
        <v>45051.666666666599</v>
      </c>
      <c r="C342" s="22">
        <f ca="1">IFERROR(__xludf.DUMMYFUNCTION("""COMPUTED_VALUE"""),136.74)</f>
        <v>136.74</v>
      </c>
      <c r="D342" s="22">
        <v>84.88</v>
      </c>
      <c r="E342" s="23">
        <v>327.02</v>
      </c>
      <c r="G342" s="21">
        <f t="shared" ca="1" si="259"/>
        <v>45051.666666666599</v>
      </c>
      <c r="H342" s="19">
        <f t="shared" ref="H342:J342" ca="1" si="341">(C342/C341) - 1</f>
        <v>1.9534745004473608E-2</v>
      </c>
      <c r="I342" s="19">
        <f t="shared" si="341"/>
        <v>2.7478513497155355E-2</v>
      </c>
      <c r="J342" s="17">
        <f t="shared" si="341"/>
        <v>1.7929402975782827E-2</v>
      </c>
    </row>
    <row r="343" spans="2:10" ht="15.75" customHeight="1" x14ac:dyDescent="0.25">
      <c r="B343" s="21">
        <f ca="1">IFERROR(__xludf.DUMMYFUNCTION("""COMPUTED_VALUE"""),45054.6666666666)</f>
        <v>45054.666666666599</v>
      </c>
      <c r="C343" s="22">
        <f ca="1">IFERROR(__xludf.DUMMYFUNCTION("""COMPUTED_VALUE"""),137.07)</f>
        <v>137.07</v>
      </c>
      <c r="D343" s="22">
        <v>84.43</v>
      </c>
      <c r="E343" s="23">
        <v>326.51</v>
      </c>
      <c r="G343" s="21">
        <f t="shared" ca="1" si="259"/>
        <v>45054.666666666599</v>
      </c>
      <c r="H343" s="19">
        <f t="shared" ref="H343:J343" ca="1" si="342">(C343/C342) - 1</f>
        <v>2.4133391838525586E-3</v>
      </c>
      <c r="I343" s="19">
        <f t="shared" si="342"/>
        <v>-5.3016022620168135E-3</v>
      </c>
      <c r="J343" s="17">
        <f t="shared" si="342"/>
        <v>-1.5595376429575758E-3</v>
      </c>
    </row>
    <row r="344" spans="2:10" ht="15.75" customHeight="1" x14ac:dyDescent="0.25">
      <c r="B344" s="21">
        <f ca="1">IFERROR(__xludf.DUMMYFUNCTION("""COMPUTED_VALUE"""),45055.6666666666)</f>
        <v>45055.666666666599</v>
      </c>
      <c r="C344" s="22">
        <f ca="1">IFERROR(__xludf.DUMMYFUNCTION("""COMPUTED_VALUE"""),136.41)</f>
        <v>136.41</v>
      </c>
      <c r="D344" s="22">
        <v>84.37</v>
      </c>
      <c r="E344" s="23">
        <v>324.77</v>
      </c>
      <c r="G344" s="21">
        <f t="shared" ca="1" si="259"/>
        <v>45055.666666666599</v>
      </c>
      <c r="H344" s="19">
        <f t="shared" ref="H344:J344" ca="1" si="343">(C344/C343) - 1</f>
        <v>-4.8150579995622778E-3</v>
      </c>
      <c r="I344" s="19">
        <f t="shared" si="343"/>
        <v>-7.1064787397845386E-4</v>
      </c>
      <c r="J344" s="17">
        <f t="shared" si="343"/>
        <v>-5.329086398578986E-3</v>
      </c>
    </row>
    <row r="345" spans="2:10" ht="15.75" customHeight="1" x14ac:dyDescent="0.25">
      <c r="B345" s="21">
        <f ca="1">IFERROR(__xludf.DUMMYFUNCTION("""COMPUTED_VALUE"""),45056.6666666666)</f>
        <v>45056.666666666599</v>
      </c>
      <c r="C345" s="22">
        <f ca="1">IFERROR(__xludf.DUMMYFUNCTION("""COMPUTED_VALUE"""),136.48)</f>
        <v>136.47999999999999</v>
      </c>
      <c r="D345" s="22">
        <v>83.72</v>
      </c>
      <c r="E345" s="23">
        <v>322.55</v>
      </c>
      <c r="G345" s="21">
        <f t="shared" ca="1" si="259"/>
        <v>45056.666666666599</v>
      </c>
      <c r="H345" s="19">
        <f t="shared" ref="H345:J345" ca="1" si="344">(C345/C344) - 1</f>
        <v>5.1315885932101679E-4</v>
      </c>
      <c r="I345" s="19">
        <f t="shared" si="344"/>
        <v>-7.7041602465331982E-3</v>
      </c>
      <c r="J345" s="17">
        <f t="shared" si="344"/>
        <v>-6.8356067370753948E-3</v>
      </c>
    </row>
    <row r="346" spans="2:10" ht="15.75" customHeight="1" x14ac:dyDescent="0.25">
      <c r="B346" s="21">
        <f ca="1">IFERROR(__xludf.DUMMYFUNCTION("""COMPUTED_VALUE"""),45057.6666666666)</f>
        <v>45057.666666666599</v>
      </c>
      <c r="C346" s="22">
        <f ca="1">IFERROR(__xludf.DUMMYFUNCTION("""COMPUTED_VALUE"""),136.05)</f>
        <v>136.05000000000001</v>
      </c>
      <c r="D346" s="22">
        <v>82.63</v>
      </c>
      <c r="E346" s="23">
        <v>320.72000000000003</v>
      </c>
      <c r="G346" s="21">
        <f t="shared" ca="1" si="259"/>
        <v>45057.666666666599</v>
      </c>
      <c r="H346" s="19">
        <f t="shared" ref="H346:J346" ca="1" si="345">(C346/C345) - 1</f>
        <v>-3.1506447831182172E-3</v>
      </c>
      <c r="I346" s="19">
        <f t="shared" si="345"/>
        <v>-1.3019589106545659E-2</v>
      </c>
      <c r="J346" s="17">
        <f t="shared" si="345"/>
        <v>-5.6735389862035968E-3</v>
      </c>
    </row>
    <row r="347" spans="2:10" ht="15.75" customHeight="1" x14ac:dyDescent="0.25">
      <c r="B347" s="21">
        <f ca="1">IFERROR(__xludf.DUMMYFUNCTION("""COMPUTED_VALUE"""),45058.6666666666)</f>
        <v>45058.666666666599</v>
      </c>
      <c r="C347" s="22">
        <f ca="1">IFERROR(__xludf.DUMMYFUNCTION("""COMPUTED_VALUE"""),134.1)</f>
        <v>134.1</v>
      </c>
      <c r="D347" s="22">
        <v>82.39</v>
      </c>
      <c r="E347" s="23">
        <v>319.5</v>
      </c>
      <c r="G347" s="21">
        <f t="shared" ca="1" si="259"/>
        <v>45058.666666666599</v>
      </c>
      <c r="H347" s="19">
        <f t="shared" ref="H347:J347" ca="1" si="346">(C347/C346) - 1</f>
        <v>-1.4332965821389321E-2</v>
      </c>
      <c r="I347" s="19">
        <f t="shared" si="346"/>
        <v>-2.9045140989955032E-3</v>
      </c>
      <c r="J347" s="17">
        <f t="shared" si="346"/>
        <v>-3.8039411324520822E-3</v>
      </c>
    </row>
    <row r="348" spans="2:10" ht="15.75" customHeight="1" x14ac:dyDescent="0.25">
      <c r="B348" s="21">
        <f ca="1">IFERROR(__xludf.DUMMYFUNCTION("""COMPUTED_VALUE"""),45061.6666666666)</f>
        <v>45061.666666666599</v>
      </c>
      <c r="C348" s="22">
        <f ca="1">IFERROR(__xludf.DUMMYFUNCTION("""COMPUTED_VALUE"""),135.23)</f>
        <v>135.22999999999999</v>
      </c>
      <c r="D348" s="22">
        <v>82.95</v>
      </c>
      <c r="E348" s="23">
        <v>322.07</v>
      </c>
      <c r="G348" s="21">
        <f t="shared" ca="1" si="259"/>
        <v>45061.666666666599</v>
      </c>
      <c r="H348" s="19">
        <f t="shared" ref="H348:J348" ca="1" si="347">(C348/C347) - 1</f>
        <v>8.4265473527218582E-3</v>
      </c>
      <c r="I348" s="19">
        <f t="shared" si="347"/>
        <v>6.7969413763806497E-3</v>
      </c>
      <c r="J348" s="17">
        <f t="shared" si="347"/>
        <v>8.0438184663536028E-3</v>
      </c>
    </row>
    <row r="349" spans="2:10" ht="15.75" customHeight="1" x14ac:dyDescent="0.25">
      <c r="B349" s="21">
        <f ca="1">IFERROR(__xludf.DUMMYFUNCTION("""COMPUTED_VALUE"""),45062.6666666666)</f>
        <v>45062.666666666599</v>
      </c>
      <c r="C349" s="22">
        <f ca="1">IFERROR(__xludf.DUMMYFUNCTION("""COMPUTED_VALUE"""),134.32)</f>
        <v>134.32</v>
      </c>
      <c r="D349" s="22">
        <v>81.86</v>
      </c>
      <c r="E349" s="23">
        <v>320.81</v>
      </c>
      <c r="G349" s="21">
        <f t="shared" ca="1" si="259"/>
        <v>45062.666666666599</v>
      </c>
      <c r="H349" s="19">
        <f t="shared" ref="H349:J349" ca="1" si="348">(C349/C348) - 1</f>
        <v>-6.7292760482141611E-3</v>
      </c>
      <c r="I349" s="19">
        <f t="shared" si="348"/>
        <v>-1.3140446051838506E-2</v>
      </c>
      <c r="J349" s="17">
        <f t="shared" si="348"/>
        <v>-3.9121930015213469E-3</v>
      </c>
    </row>
    <row r="350" spans="2:10" ht="15.75" customHeight="1" x14ac:dyDescent="0.25">
      <c r="B350" s="21">
        <f ca="1">IFERROR(__xludf.DUMMYFUNCTION("""COMPUTED_VALUE"""),45063.6666666666)</f>
        <v>45063.666666666599</v>
      </c>
      <c r="C350" s="22">
        <f ca="1">IFERROR(__xludf.DUMMYFUNCTION("""COMPUTED_VALUE"""),138.45)</f>
        <v>138.44999999999999</v>
      </c>
      <c r="D350" s="22">
        <v>83.91</v>
      </c>
      <c r="E350" s="23">
        <v>330.18</v>
      </c>
      <c r="G350" s="21">
        <f t="shared" ca="1" si="259"/>
        <v>45063.666666666599</v>
      </c>
      <c r="H350" s="19">
        <f t="shared" ref="H350:J350" ca="1" si="349">(C350/C349) - 1</f>
        <v>3.0747468731387784E-2</v>
      </c>
      <c r="I350" s="19">
        <f t="shared" si="349"/>
        <v>2.5042755924749471E-2</v>
      </c>
      <c r="J350" s="17">
        <f t="shared" si="349"/>
        <v>2.920731897384754E-2</v>
      </c>
    </row>
    <row r="351" spans="2:10" ht="15.75" customHeight="1" x14ac:dyDescent="0.25">
      <c r="B351" s="21">
        <f ca="1">IFERROR(__xludf.DUMMYFUNCTION("""COMPUTED_VALUE"""),45064.6666666666)</f>
        <v>45064.666666666599</v>
      </c>
      <c r="C351" s="22">
        <f ca="1">IFERROR(__xludf.DUMMYFUNCTION("""COMPUTED_VALUE"""),139.5)</f>
        <v>139.5</v>
      </c>
      <c r="D351" s="22">
        <v>84.49</v>
      </c>
      <c r="E351" s="23">
        <v>329.58</v>
      </c>
      <c r="G351" s="21">
        <f t="shared" ca="1" si="259"/>
        <v>45064.666666666599</v>
      </c>
      <c r="H351" s="19">
        <f t="shared" ref="H351:J351" ca="1" si="350">(C351/C350) - 1</f>
        <v>7.5839653304443644E-3</v>
      </c>
      <c r="I351" s="19">
        <f t="shared" si="350"/>
        <v>6.9121677988319696E-3</v>
      </c>
      <c r="J351" s="17">
        <f t="shared" si="350"/>
        <v>-1.8171906232964385E-3</v>
      </c>
    </row>
    <row r="352" spans="2:10" ht="15.75" customHeight="1" x14ac:dyDescent="0.25">
      <c r="B352" s="21">
        <f ca="1">IFERROR(__xludf.DUMMYFUNCTION("""COMPUTED_VALUE"""),45065.6666666666)</f>
        <v>45065.666666666599</v>
      </c>
      <c r="C352" s="22">
        <f ca="1">IFERROR(__xludf.DUMMYFUNCTION("""COMPUTED_VALUE"""),139.18)</f>
        <v>139.18</v>
      </c>
      <c r="D352" s="22">
        <v>82.24</v>
      </c>
      <c r="E352" s="23">
        <v>326.14999999999998</v>
      </c>
      <c r="G352" s="21">
        <f t="shared" ca="1" si="259"/>
        <v>45065.666666666599</v>
      </c>
      <c r="H352" s="19">
        <f t="shared" ref="H352:J352" ca="1" si="351">(C352/C351) - 1</f>
        <v>-2.2939068100358284E-3</v>
      </c>
      <c r="I352" s="19">
        <f t="shared" si="351"/>
        <v>-2.6630370458042396E-2</v>
      </c>
      <c r="J352" s="17">
        <f t="shared" si="351"/>
        <v>-1.0407184901996547E-2</v>
      </c>
    </row>
    <row r="353" spans="2:10" ht="15.75" customHeight="1" x14ac:dyDescent="0.25">
      <c r="B353" s="21">
        <f ca="1">IFERROR(__xludf.DUMMYFUNCTION("""COMPUTED_VALUE"""),45068.6666666666)</f>
        <v>45068.666666666599</v>
      </c>
      <c r="C353" s="22">
        <f ca="1">IFERROR(__xludf.DUMMYFUNCTION("""COMPUTED_VALUE"""),138.03)</f>
        <v>138.03</v>
      </c>
      <c r="D353" s="22">
        <v>82.27</v>
      </c>
      <c r="E353" s="23">
        <v>324.92</v>
      </c>
      <c r="G353" s="21">
        <f t="shared" ca="1" si="259"/>
        <v>45068.666666666599</v>
      </c>
      <c r="H353" s="19">
        <f t="shared" ref="H353:J353" ca="1" si="352">(C353/C352) - 1</f>
        <v>-8.2626814197442888E-3</v>
      </c>
      <c r="I353" s="19">
        <f t="shared" si="352"/>
        <v>3.6478599221800856E-4</v>
      </c>
      <c r="J353" s="17">
        <f t="shared" si="352"/>
        <v>-3.7712708876282974E-3</v>
      </c>
    </row>
    <row r="354" spans="2:10" ht="15.75" customHeight="1" x14ac:dyDescent="0.25">
      <c r="B354" s="21">
        <f ca="1">IFERROR(__xludf.DUMMYFUNCTION("""COMPUTED_VALUE"""),45069.6666666666)</f>
        <v>45069.666666666599</v>
      </c>
      <c r="C354" s="22">
        <f ca="1">IFERROR(__xludf.DUMMYFUNCTION("""COMPUTED_VALUE"""),136.59)</f>
        <v>136.59</v>
      </c>
      <c r="D354" s="22">
        <v>82.64</v>
      </c>
      <c r="E354" s="23">
        <v>323.57</v>
      </c>
      <c r="G354" s="21">
        <f t="shared" ca="1" si="259"/>
        <v>45069.666666666599</v>
      </c>
      <c r="H354" s="19">
        <f t="shared" ref="H354:J354" ca="1" si="353">(C354/C353) - 1</f>
        <v>-1.0432514670723703E-2</v>
      </c>
      <c r="I354" s="19">
        <f t="shared" si="353"/>
        <v>4.4973866537012519E-3</v>
      </c>
      <c r="J354" s="17">
        <f t="shared" si="353"/>
        <v>-4.1548688908039644E-3</v>
      </c>
    </row>
    <row r="355" spans="2:10" ht="15.75" customHeight="1" x14ac:dyDescent="0.25">
      <c r="B355" s="21">
        <f ca="1">IFERROR(__xludf.DUMMYFUNCTION("""COMPUTED_VALUE"""),45070.6666666666)</f>
        <v>45070.666666666599</v>
      </c>
      <c r="C355" s="22">
        <f ca="1">IFERROR(__xludf.DUMMYFUNCTION("""COMPUTED_VALUE"""),135.34)</f>
        <v>135.34</v>
      </c>
      <c r="D355" s="22">
        <v>81.22</v>
      </c>
      <c r="E355" s="23">
        <v>319.81</v>
      </c>
      <c r="G355" s="21">
        <f t="shared" ca="1" si="259"/>
        <v>45070.666666666599</v>
      </c>
      <c r="H355" s="19">
        <f t="shared" ref="H355:J355" ca="1" si="354">(C355/C354) - 1</f>
        <v>-9.1514752178051273E-3</v>
      </c>
      <c r="I355" s="19">
        <f t="shared" si="354"/>
        <v>-1.718296224588578E-2</v>
      </c>
      <c r="J355" s="17">
        <f t="shared" si="354"/>
        <v>-1.1620360354791859E-2</v>
      </c>
    </row>
    <row r="356" spans="2:10" ht="15.75" customHeight="1" x14ac:dyDescent="0.25">
      <c r="B356" s="21">
        <f ca="1">IFERROR(__xludf.DUMMYFUNCTION("""COMPUTED_VALUE"""),45071.6666666666)</f>
        <v>45071.666666666599</v>
      </c>
      <c r="C356" s="22">
        <f ca="1">IFERROR(__xludf.DUMMYFUNCTION("""COMPUTED_VALUE"""),135.67)</f>
        <v>135.66999999999999</v>
      </c>
      <c r="D356" s="22">
        <v>83</v>
      </c>
      <c r="E356" s="23">
        <v>323.88</v>
      </c>
      <c r="G356" s="21">
        <f t="shared" ca="1" si="259"/>
        <v>45071.666666666599</v>
      </c>
      <c r="H356" s="19">
        <f t="shared" ref="H356:J356" ca="1" si="355">(C356/C355) - 1</f>
        <v>2.4383035318455981E-3</v>
      </c>
      <c r="I356" s="19">
        <f t="shared" si="355"/>
        <v>2.1915784289583851E-2</v>
      </c>
      <c r="J356" s="17">
        <f t="shared" si="355"/>
        <v>1.2726306244332575E-2</v>
      </c>
    </row>
    <row r="357" spans="2:10" ht="15.75" customHeight="1" x14ac:dyDescent="0.25">
      <c r="B357" s="21">
        <f ca="1">IFERROR(__xludf.DUMMYFUNCTION("""COMPUTED_VALUE"""),45072.6666666666)</f>
        <v>45072.666666666599</v>
      </c>
      <c r="C357" s="22">
        <f ca="1">IFERROR(__xludf.DUMMYFUNCTION("""COMPUTED_VALUE"""),136.94)</f>
        <v>136.94</v>
      </c>
      <c r="D357" s="22">
        <v>83.9</v>
      </c>
      <c r="E357" s="23">
        <v>332.01</v>
      </c>
      <c r="G357" s="21">
        <f t="shared" ca="1" si="259"/>
        <v>45072.666666666599</v>
      </c>
      <c r="H357" s="19">
        <f t="shared" ref="H357:J357" ca="1" si="356">(C357/C356) - 1</f>
        <v>9.3609493624235984E-3</v>
      </c>
      <c r="I357" s="19">
        <f t="shared" si="356"/>
        <v>1.0843373493975905E-2</v>
      </c>
      <c r="J357" s="17">
        <f t="shared" si="356"/>
        <v>2.5101889588736492E-2</v>
      </c>
    </row>
    <row r="358" spans="2:10" ht="15.75" customHeight="1" x14ac:dyDescent="0.25">
      <c r="B358" s="21">
        <f ca="1">IFERROR(__xludf.DUMMYFUNCTION("""COMPUTED_VALUE"""),45076.6666666666)</f>
        <v>45076.666666666599</v>
      </c>
      <c r="C358" s="22">
        <f ca="1">IFERROR(__xludf.DUMMYFUNCTION("""COMPUTED_VALUE"""),137.46)</f>
        <v>137.46</v>
      </c>
      <c r="D358" s="22">
        <v>83.42</v>
      </c>
      <c r="E358" s="23">
        <v>330.83</v>
      </c>
      <c r="G358" s="21">
        <f t="shared" ca="1" si="259"/>
        <v>45076.666666666599</v>
      </c>
      <c r="H358" s="19">
        <f t="shared" ref="H358:J358" ca="1" si="357">(C358/C357) - 1</f>
        <v>3.7972834818169598E-3</v>
      </c>
      <c r="I358" s="19">
        <f t="shared" si="357"/>
        <v>-5.7210965435041672E-3</v>
      </c>
      <c r="J358" s="17">
        <f t="shared" si="357"/>
        <v>-3.5541098159693751E-3</v>
      </c>
    </row>
    <row r="359" spans="2:10" ht="15.75" customHeight="1" x14ac:dyDescent="0.25">
      <c r="B359" s="21">
        <f ca="1">IFERROR(__xludf.DUMMYFUNCTION("""COMPUTED_VALUE"""),45077.6666666666)</f>
        <v>45077.666666666599</v>
      </c>
      <c r="C359" s="22">
        <f ca="1">IFERROR(__xludf.DUMMYFUNCTION("""COMPUTED_VALUE"""),135.71)</f>
        <v>135.71</v>
      </c>
      <c r="D359" s="22">
        <v>81.760000000000005</v>
      </c>
      <c r="E359" s="23">
        <v>323.89999999999998</v>
      </c>
      <c r="G359" s="21">
        <f t="shared" ca="1" si="259"/>
        <v>45077.666666666599</v>
      </c>
      <c r="H359" s="19">
        <f t="shared" ref="H359:J359" ca="1" si="358">(C359/C358) - 1</f>
        <v>-1.2730976284009876E-2</v>
      </c>
      <c r="I359" s="19">
        <f t="shared" si="358"/>
        <v>-1.9899304723087985E-2</v>
      </c>
      <c r="J359" s="17">
        <f t="shared" si="358"/>
        <v>-2.0947314330623024E-2</v>
      </c>
    </row>
    <row r="360" spans="2:10" ht="15.75" customHeight="1" x14ac:dyDescent="0.25">
      <c r="B360" s="21">
        <f ca="1">IFERROR(__xludf.DUMMYFUNCTION("""COMPUTED_VALUE"""),45078.6666666666)</f>
        <v>45078.666666666599</v>
      </c>
      <c r="C360" s="22">
        <f ca="1">IFERROR(__xludf.DUMMYFUNCTION("""COMPUTED_VALUE"""),137.58)</f>
        <v>137.58000000000001</v>
      </c>
      <c r="D360" s="22">
        <v>82.07</v>
      </c>
      <c r="E360" s="23">
        <v>316.39999999999998</v>
      </c>
      <c r="G360" s="21">
        <f t="shared" ca="1" si="259"/>
        <v>45078.666666666599</v>
      </c>
      <c r="H360" s="19">
        <f t="shared" ref="H360:J360" ca="1" si="359">(C360/C359) - 1</f>
        <v>1.3779382506815985E-2</v>
      </c>
      <c r="I360" s="19">
        <f t="shared" si="359"/>
        <v>3.7915851272014578E-3</v>
      </c>
      <c r="J360" s="17">
        <f t="shared" si="359"/>
        <v>-2.3155294844087737E-2</v>
      </c>
    </row>
    <row r="361" spans="2:10" ht="15.75" customHeight="1" x14ac:dyDescent="0.25">
      <c r="B361" s="21">
        <f ca="1">IFERROR(__xludf.DUMMYFUNCTION("""COMPUTED_VALUE"""),45079.6666666666)</f>
        <v>45079.666666666599</v>
      </c>
      <c r="C361" s="22">
        <f ca="1">IFERROR(__xludf.DUMMYFUNCTION("""COMPUTED_VALUE"""),140.47)</f>
        <v>140.47</v>
      </c>
      <c r="D361" s="22">
        <v>84.35</v>
      </c>
      <c r="E361" s="23">
        <v>323.64999999999998</v>
      </c>
      <c r="G361" s="21">
        <f t="shared" ca="1" si="259"/>
        <v>45079.666666666599</v>
      </c>
      <c r="H361" s="19">
        <f t="shared" ref="H361:J361" ca="1" si="360">(C361/C360) - 1</f>
        <v>2.100596016862899E-2</v>
      </c>
      <c r="I361" s="19">
        <f t="shared" si="360"/>
        <v>2.7781162422322314E-2</v>
      </c>
      <c r="J361" s="17">
        <f t="shared" si="360"/>
        <v>2.2914032869784995E-2</v>
      </c>
    </row>
    <row r="362" spans="2:10" ht="15.75" customHeight="1" x14ac:dyDescent="0.25">
      <c r="B362" s="21">
        <f ca="1">IFERROR(__xludf.DUMMYFUNCTION("""COMPUTED_VALUE"""),45082.6666666666)</f>
        <v>45082.666666666599</v>
      </c>
      <c r="C362" s="22">
        <f ca="1">IFERROR(__xludf.DUMMYFUNCTION("""COMPUTED_VALUE"""),139.09)</f>
        <v>139.09</v>
      </c>
      <c r="D362" s="22">
        <v>83.74</v>
      </c>
      <c r="E362" s="23">
        <v>321.81</v>
      </c>
      <c r="G362" s="21">
        <f t="shared" ca="1" si="259"/>
        <v>45082.666666666599</v>
      </c>
      <c r="H362" s="19">
        <f t="shared" ref="H362:J362" ca="1" si="361">(C362/C361) - 1</f>
        <v>-9.8241617427208272E-3</v>
      </c>
      <c r="I362" s="19">
        <f t="shared" si="361"/>
        <v>-7.2317723770005671E-3</v>
      </c>
      <c r="J362" s="17">
        <f t="shared" si="361"/>
        <v>-5.685153715433211E-3</v>
      </c>
    </row>
    <row r="363" spans="2:10" ht="15.75" customHeight="1" x14ac:dyDescent="0.25">
      <c r="B363" s="21">
        <f ca="1">IFERROR(__xludf.DUMMYFUNCTION("""COMPUTED_VALUE"""),45083.6666666666)</f>
        <v>45083.666666666599</v>
      </c>
      <c r="C363" s="22">
        <f ca="1">IFERROR(__xludf.DUMMYFUNCTION("""COMPUTED_VALUE"""),139.34)</f>
        <v>139.34</v>
      </c>
      <c r="D363" s="22">
        <v>85.86</v>
      </c>
      <c r="E363" s="23">
        <v>326.8</v>
      </c>
      <c r="G363" s="21">
        <f t="shared" ca="1" si="259"/>
        <v>45083.666666666599</v>
      </c>
      <c r="H363" s="19">
        <f t="shared" ref="H363:J363" ca="1" si="362">(C363/C362) - 1</f>
        <v>1.7973973686102873E-3</v>
      </c>
      <c r="I363" s="19">
        <f t="shared" si="362"/>
        <v>2.5316455696202667E-2</v>
      </c>
      <c r="J363" s="17">
        <f t="shared" si="362"/>
        <v>1.550604393897026E-2</v>
      </c>
    </row>
    <row r="364" spans="2:10" ht="15.75" customHeight="1" x14ac:dyDescent="0.25">
      <c r="B364" s="21">
        <f ca="1">IFERROR(__xludf.DUMMYFUNCTION("""COMPUTED_VALUE"""),45084.6666666666)</f>
        <v>45084.666666666599</v>
      </c>
      <c r="C364" s="22">
        <f ca="1">IFERROR(__xludf.DUMMYFUNCTION("""COMPUTED_VALUE"""),140.69)</f>
        <v>140.69</v>
      </c>
      <c r="D364" s="22">
        <v>86.5</v>
      </c>
      <c r="E364" s="23">
        <v>335.75</v>
      </c>
      <c r="G364" s="21">
        <f t="shared" ca="1" si="259"/>
        <v>45084.666666666599</v>
      </c>
      <c r="H364" s="19">
        <f t="shared" ref="H364:J364" ca="1" si="363">(C364/C363) - 1</f>
        <v>9.6885316492032469E-3</v>
      </c>
      <c r="I364" s="19">
        <f t="shared" si="363"/>
        <v>7.4539948753784557E-3</v>
      </c>
      <c r="J364" s="17">
        <f t="shared" si="363"/>
        <v>2.7386780905752639E-2</v>
      </c>
    </row>
    <row r="365" spans="2:10" ht="15.75" customHeight="1" x14ac:dyDescent="0.25">
      <c r="B365" s="21">
        <f ca="1">IFERROR(__xludf.DUMMYFUNCTION("""COMPUTED_VALUE"""),45085.6666666666)</f>
        <v>45085.666666666599</v>
      </c>
      <c r="C365" s="22">
        <f ca="1">IFERROR(__xludf.DUMMYFUNCTION("""COMPUTED_VALUE"""),140.73)</f>
        <v>140.72999999999999</v>
      </c>
      <c r="D365" s="22">
        <v>86.31</v>
      </c>
      <c r="E365" s="23">
        <v>335.47</v>
      </c>
      <c r="G365" s="21">
        <f t="shared" ca="1" si="259"/>
        <v>45085.666666666599</v>
      </c>
      <c r="H365" s="19">
        <f t="shared" ref="H365:J365" ca="1" si="364">(C365/C364) - 1</f>
        <v>2.8431302864451169E-4</v>
      </c>
      <c r="I365" s="19">
        <f t="shared" si="364"/>
        <v>-2.1965317919074856E-3</v>
      </c>
      <c r="J365" s="17">
        <f t="shared" si="364"/>
        <v>-8.3395383469830886E-4</v>
      </c>
    </row>
    <row r="366" spans="2:10" ht="15.75" customHeight="1" x14ac:dyDescent="0.25">
      <c r="B366" s="21">
        <f ca="1">IFERROR(__xludf.DUMMYFUNCTION("""COMPUTED_VALUE"""),45086.6666666666)</f>
        <v>45086.666666666599</v>
      </c>
      <c r="C366" s="22">
        <f ca="1">IFERROR(__xludf.DUMMYFUNCTION("""COMPUTED_VALUE"""),141.01)</f>
        <v>141.01</v>
      </c>
      <c r="D366" s="22">
        <v>86.21</v>
      </c>
      <c r="E366" s="23">
        <v>336.02</v>
      </c>
      <c r="G366" s="21">
        <f t="shared" ca="1" si="259"/>
        <v>45086.666666666599</v>
      </c>
      <c r="H366" s="19">
        <f t="shared" ref="H366:J366" ca="1" si="365">(C366/C365) - 1</f>
        <v>1.9896255240532401E-3</v>
      </c>
      <c r="I366" s="19">
        <f t="shared" si="365"/>
        <v>-1.1586142973005753E-3</v>
      </c>
      <c r="J366" s="17">
        <f t="shared" si="365"/>
        <v>1.6394908635644079E-3</v>
      </c>
    </row>
    <row r="367" spans="2:10" ht="15.75" customHeight="1" x14ac:dyDescent="0.25">
      <c r="B367" s="21">
        <f ca="1">IFERROR(__xludf.DUMMYFUNCTION("""COMPUTED_VALUE"""),45089.6666666666)</f>
        <v>45089.666666666599</v>
      </c>
      <c r="C367" s="22">
        <f ca="1">IFERROR(__xludf.DUMMYFUNCTION("""COMPUTED_VALUE"""),141)</f>
        <v>141</v>
      </c>
      <c r="D367" s="22">
        <v>87.44</v>
      </c>
      <c r="E367" s="23">
        <v>339.49</v>
      </c>
      <c r="G367" s="21">
        <f t="shared" ca="1" si="259"/>
        <v>45089.666666666599</v>
      </c>
      <c r="H367" s="19">
        <f t="shared" ref="H367:J367" ca="1" si="366">(C367/C366) - 1</f>
        <v>-7.0916956244171381E-5</v>
      </c>
      <c r="I367" s="19">
        <f t="shared" si="366"/>
        <v>1.4267486370490801E-2</v>
      </c>
      <c r="J367" s="17">
        <f t="shared" si="366"/>
        <v>1.0326766263913045E-2</v>
      </c>
    </row>
    <row r="368" spans="2:10" ht="15.75" customHeight="1" x14ac:dyDescent="0.25">
      <c r="B368" s="21">
        <f ca="1">IFERROR(__xludf.DUMMYFUNCTION("""COMPUTED_VALUE"""),45090.6666666666)</f>
        <v>45090.666666666599</v>
      </c>
      <c r="C368" s="22">
        <f ca="1">IFERROR(__xludf.DUMMYFUNCTION("""COMPUTED_VALUE"""),142.02)</f>
        <v>142.02000000000001</v>
      </c>
      <c r="D368" s="22">
        <v>88.28</v>
      </c>
      <c r="E368" s="23">
        <v>342.5</v>
      </c>
      <c r="G368" s="21">
        <f t="shared" ca="1" si="259"/>
        <v>45090.666666666599</v>
      </c>
      <c r="H368" s="19">
        <f t="shared" ref="H368:J368" ca="1" si="367">(C368/C367) - 1</f>
        <v>7.2340425531915997E-3</v>
      </c>
      <c r="I368" s="19">
        <f t="shared" si="367"/>
        <v>9.6065873741995045E-3</v>
      </c>
      <c r="J368" s="17">
        <f t="shared" si="367"/>
        <v>8.8662405372765818E-3</v>
      </c>
    </row>
    <row r="369" spans="2:10" ht="15.75" customHeight="1" x14ac:dyDescent="0.25">
      <c r="B369" s="21">
        <f ca="1">IFERROR(__xludf.DUMMYFUNCTION("""COMPUTED_VALUE"""),45091.6666666666)</f>
        <v>45091.666666666599</v>
      </c>
      <c r="C369" s="22">
        <f ca="1">IFERROR(__xludf.DUMMYFUNCTION("""COMPUTED_VALUE"""),141.49)</f>
        <v>141.49</v>
      </c>
      <c r="D369" s="22">
        <v>87.98</v>
      </c>
      <c r="E369" s="23">
        <v>338.42</v>
      </c>
      <c r="G369" s="21">
        <f t="shared" ca="1" si="259"/>
        <v>45091.666666666599</v>
      </c>
      <c r="H369" s="19">
        <f t="shared" ref="H369:J369" ca="1" si="368">(C369/C368) - 1</f>
        <v>-3.7318687508801629E-3</v>
      </c>
      <c r="I369" s="19">
        <f t="shared" si="368"/>
        <v>-3.3982782057090377E-3</v>
      </c>
      <c r="J369" s="17">
        <f t="shared" si="368"/>
        <v>-1.1912408759124027E-2</v>
      </c>
    </row>
    <row r="370" spans="2:10" ht="15.75" customHeight="1" x14ac:dyDescent="0.25">
      <c r="B370" s="21">
        <f ca="1">IFERROR(__xludf.DUMMYFUNCTION("""COMPUTED_VALUE"""),45092.6666666666)</f>
        <v>45092.666666666599</v>
      </c>
      <c r="C370" s="22">
        <f ca="1">IFERROR(__xludf.DUMMYFUNCTION("""COMPUTED_VALUE"""),143.09)</f>
        <v>143.09</v>
      </c>
      <c r="D370" s="22">
        <v>89.05</v>
      </c>
      <c r="E370" s="23">
        <v>339.74</v>
      </c>
      <c r="G370" s="21">
        <f t="shared" ca="1" si="259"/>
        <v>45092.666666666599</v>
      </c>
      <c r="H370" s="19">
        <f t="shared" ref="H370:J370" ca="1" si="369">(C370/C369) - 1</f>
        <v>1.1308219662166996E-2</v>
      </c>
      <c r="I370" s="19">
        <f t="shared" si="369"/>
        <v>1.2161854967037922E-2</v>
      </c>
      <c r="J370" s="17">
        <f t="shared" si="369"/>
        <v>3.9004786951124526E-3</v>
      </c>
    </row>
    <row r="371" spans="2:10" ht="15.75" customHeight="1" x14ac:dyDescent="0.25">
      <c r="B371" s="21">
        <f ca="1">IFERROR(__xludf.DUMMYFUNCTION("""COMPUTED_VALUE"""),45093.6666666666)</f>
        <v>45093.666666666599</v>
      </c>
      <c r="C371" s="22">
        <f ca="1">IFERROR(__xludf.DUMMYFUNCTION("""COMPUTED_VALUE"""),143.26)</f>
        <v>143.26</v>
      </c>
      <c r="D371" s="22">
        <v>88.09</v>
      </c>
      <c r="E371" s="23">
        <v>338.31</v>
      </c>
      <c r="G371" s="21">
        <f t="shared" ca="1" si="259"/>
        <v>45093.666666666599</v>
      </c>
      <c r="H371" s="19">
        <f t="shared" ref="H371:J371" ca="1" si="370">(C371/C370) - 1</f>
        <v>1.1880634565657466E-3</v>
      </c>
      <c r="I371" s="19">
        <f t="shared" si="370"/>
        <v>-1.0780460415496851E-2</v>
      </c>
      <c r="J371" s="17">
        <f t="shared" si="370"/>
        <v>-4.2091010772944415E-3</v>
      </c>
    </row>
    <row r="372" spans="2:10" ht="15.75" customHeight="1" x14ac:dyDescent="0.25">
      <c r="B372" s="21">
        <f ca="1">IFERROR(__xludf.DUMMYFUNCTION("""COMPUTED_VALUE"""),45097.6666666666)</f>
        <v>45097.666666666599</v>
      </c>
      <c r="C372" s="22">
        <f ca="1">IFERROR(__xludf.DUMMYFUNCTION("""COMPUTED_VALUE"""),142.53)</f>
        <v>142.53</v>
      </c>
      <c r="D372" s="22">
        <v>86.73</v>
      </c>
      <c r="E372" s="23">
        <v>330.72</v>
      </c>
      <c r="G372" s="21">
        <f t="shared" ca="1" si="259"/>
        <v>45097.666666666599</v>
      </c>
      <c r="H372" s="19">
        <f t="shared" ref="H372:J372" ca="1" si="371">(C372/C371) - 1</f>
        <v>-5.0956303224904964E-3</v>
      </c>
      <c r="I372" s="19">
        <f t="shared" si="371"/>
        <v>-1.5438755817913541E-2</v>
      </c>
      <c r="J372" s="17">
        <f t="shared" si="371"/>
        <v>-2.2435044781413449E-2</v>
      </c>
    </row>
    <row r="373" spans="2:10" ht="15.75" customHeight="1" x14ac:dyDescent="0.25">
      <c r="B373" s="21">
        <f ca="1">IFERROR(__xludf.DUMMYFUNCTION("""COMPUTED_VALUE"""),45098.6666666666)</f>
        <v>45098.666666666599</v>
      </c>
      <c r="C373" s="22">
        <f ca="1">IFERROR(__xludf.DUMMYFUNCTION("""COMPUTED_VALUE"""),142.32)</f>
        <v>142.32</v>
      </c>
      <c r="D373" s="22">
        <v>86.34</v>
      </c>
      <c r="E373" s="23">
        <v>325.07</v>
      </c>
      <c r="G373" s="21">
        <f t="shared" ca="1" si="259"/>
        <v>45098.666666666599</v>
      </c>
      <c r="H373" s="19">
        <f t="shared" ref="H373:J373" ca="1" si="372">(C373/C372) - 1</f>
        <v>-1.4733740265208128E-3</v>
      </c>
      <c r="I373" s="19">
        <f t="shared" si="372"/>
        <v>-4.4967139398132128E-3</v>
      </c>
      <c r="J373" s="17">
        <f t="shared" si="372"/>
        <v>-1.7083938074504257E-2</v>
      </c>
    </row>
    <row r="374" spans="2:10" ht="15.75" customHeight="1" x14ac:dyDescent="0.25">
      <c r="B374" s="21">
        <f ca="1">IFERROR(__xludf.DUMMYFUNCTION("""COMPUTED_VALUE"""),45099.6666666666)</f>
        <v>45099.666666666599</v>
      </c>
      <c r="C374" s="22">
        <f ca="1">IFERROR(__xludf.DUMMYFUNCTION("""COMPUTED_VALUE"""),139.58)</f>
        <v>139.58000000000001</v>
      </c>
      <c r="D374" s="22">
        <v>84.5</v>
      </c>
      <c r="E374" s="23">
        <v>319.58</v>
      </c>
      <c r="G374" s="21">
        <f t="shared" ca="1" si="259"/>
        <v>45099.666666666599</v>
      </c>
      <c r="H374" s="19">
        <f t="shared" ref="H374:J374" ca="1" si="373">(C374/C373) - 1</f>
        <v>-1.9252388982574309E-2</v>
      </c>
      <c r="I374" s="19">
        <f t="shared" si="373"/>
        <v>-2.1311095668288149E-2</v>
      </c>
      <c r="J374" s="17">
        <f t="shared" si="373"/>
        <v>-1.688867013258688E-2</v>
      </c>
    </row>
    <row r="375" spans="2:10" ht="15.75" customHeight="1" x14ac:dyDescent="0.25">
      <c r="B375" s="21">
        <f ca="1">IFERROR(__xludf.DUMMYFUNCTION("""COMPUTED_VALUE"""),45100.6666666666)</f>
        <v>45100.666666666599</v>
      </c>
      <c r="C375" s="22">
        <f ca="1">IFERROR(__xludf.DUMMYFUNCTION("""COMPUTED_VALUE"""),138.85)</f>
        <v>138.85</v>
      </c>
      <c r="D375" s="22">
        <v>83.58</v>
      </c>
      <c r="E375" s="23">
        <v>314.70999999999998</v>
      </c>
      <c r="G375" s="21">
        <f t="shared" ca="1" si="259"/>
        <v>45100.666666666599</v>
      </c>
      <c r="H375" s="19">
        <f t="shared" ref="H375:J375" ca="1" si="374">(C375/C374) - 1</f>
        <v>-5.2299756412094167E-3</v>
      </c>
      <c r="I375" s="19">
        <f t="shared" si="374"/>
        <v>-1.0887573964497022E-2</v>
      </c>
      <c r="J375" s="17">
        <f t="shared" si="374"/>
        <v>-1.5238750860504413E-2</v>
      </c>
    </row>
    <row r="376" spans="2:10" ht="15.75" customHeight="1" x14ac:dyDescent="0.25">
      <c r="B376" s="21">
        <f ca="1">IFERROR(__xludf.DUMMYFUNCTION("""COMPUTED_VALUE"""),45103.6666666666)</f>
        <v>45103.666666666599</v>
      </c>
      <c r="C376" s="22">
        <f ca="1">IFERROR(__xludf.DUMMYFUNCTION("""COMPUTED_VALUE"""),139.19)</f>
        <v>139.19</v>
      </c>
      <c r="D376" s="22">
        <v>83.59</v>
      </c>
      <c r="E376" s="23">
        <v>312.36</v>
      </c>
      <c r="G376" s="21">
        <f t="shared" ca="1" si="259"/>
        <v>45103.666666666599</v>
      </c>
      <c r="H376" s="19">
        <f t="shared" ref="H376:J376" ca="1" si="375">(C376/C375) - 1</f>
        <v>2.4486856319769768E-3</v>
      </c>
      <c r="I376" s="19">
        <f t="shared" si="375"/>
        <v>1.1964584828905167E-4</v>
      </c>
      <c r="J376" s="17">
        <f t="shared" si="375"/>
        <v>-7.467192018048241E-3</v>
      </c>
    </row>
    <row r="377" spans="2:10" ht="15.75" customHeight="1" x14ac:dyDescent="0.25">
      <c r="B377" s="21">
        <f ca="1">IFERROR(__xludf.DUMMYFUNCTION("""COMPUTED_VALUE"""),45104.6666666666)</f>
        <v>45104.666666666599</v>
      </c>
      <c r="C377" s="22">
        <f ca="1">IFERROR(__xludf.DUMMYFUNCTION("""COMPUTED_VALUE"""),139.2)</f>
        <v>139.19999999999999</v>
      </c>
      <c r="D377" s="22">
        <v>84.43</v>
      </c>
      <c r="E377" s="23">
        <v>313.45</v>
      </c>
      <c r="G377" s="21">
        <f t="shared" ca="1" si="259"/>
        <v>45104.666666666599</v>
      </c>
      <c r="H377" s="19">
        <f t="shared" ref="H377:J377" ca="1" si="376">(C377/C376) - 1</f>
        <v>7.1844241684049237E-5</v>
      </c>
      <c r="I377" s="19">
        <f t="shared" si="376"/>
        <v>1.0049048929297699E-2</v>
      </c>
      <c r="J377" s="17">
        <f t="shared" si="376"/>
        <v>3.489563324369227E-3</v>
      </c>
    </row>
    <row r="378" spans="2:10" ht="15.75" customHeight="1" x14ac:dyDescent="0.25">
      <c r="B378" s="21">
        <f ca="1">IFERROR(__xludf.DUMMYFUNCTION("""COMPUTED_VALUE"""),45105.6666666666)</f>
        <v>45105.666666666599</v>
      </c>
      <c r="C378" s="22">
        <f ca="1">IFERROR(__xludf.DUMMYFUNCTION("""COMPUTED_VALUE"""),138.59)</f>
        <v>138.59</v>
      </c>
      <c r="D378" s="22">
        <v>83.99</v>
      </c>
      <c r="E378" s="23">
        <v>313.66000000000003</v>
      </c>
      <c r="G378" s="21">
        <f t="shared" ca="1" si="259"/>
        <v>45105.666666666599</v>
      </c>
      <c r="H378" s="19">
        <f t="shared" ref="H378:J378" ca="1" si="377">(C378/C377) - 1</f>
        <v>-4.3821839080459002E-3</v>
      </c>
      <c r="I378" s="19">
        <f t="shared" si="377"/>
        <v>-5.2114177425087727E-3</v>
      </c>
      <c r="J378" s="17">
        <f t="shared" si="377"/>
        <v>6.6996331153301725E-4</v>
      </c>
    </row>
    <row r="379" spans="2:10" ht="15.75" customHeight="1" x14ac:dyDescent="0.25">
      <c r="B379" s="21">
        <f ca="1">IFERROR(__xludf.DUMMYFUNCTION("""COMPUTED_VALUE"""),45106.6666666666)</f>
        <v>45106.666666666599</v>
      </c>
      <c r="C379" s="22">
        <f ca="1">IFERROR(__xludf.DUMMYFUNCTION("""COMPUTED_VALUE"""),143.43)</f>
        <v>143.43</v>
      </c>
      <c r="D379" s="22">
        <v>85.24</v>
      </c>
      <c r="E379" s="23">
        <v>323.08999999999997</v>
      </c>
      <c r="G379" s="21">
        <f t="shared" ca="1" si="259"/>
        <v>45106.666666666599</v>
      </c>
      <c r="H379" s="19">
        <f t="shared" ref="H379:J379" ca="1" si="378">(C379/C378) - 1</f>
        <v>3.4923154628761166E-2</v>
      </c>
      <c r="I379" s="19">
        <f t="shared" si="378"/>
        <v>1.4882724133825409E-2</v>
      </c>
      <c r="J379" s="17">
        <f t="shared" si="378"/>
        <v>3.0064400943696779E-2</v>
      </c>
    </row>
    <row r="380" spans="2:10" ht="15.75" customHeight="1" x14ac:dyDescent="0.25">
      <c r="B380" s="21">
        <f ca="1">IFERROR(__xludf.DUMMYFUNCTION("""COMPUTED_VALUE"""),45107.6666666666)</f>
        <v>45107.666666666599</v>
      </c>
      <c r="C380" s="22">
        <f ca="1">IFERROR(__xludf.DUMMYFUNCTION("""COMPUTED_VALUE"""),145.44)</f>
        <v>145.44</v>
      </c>
      <c r="D380" s="22">
        <v>85.4</v>
      </c>
      <c r="E380" s="23">
        <v>322.54000000000002</v>
      </c>
      <c r="G380" s="21">
        <f t="shared" ca="1" si="259"/>
        <v>45107.666666666599</v>
      </c>
      <c r="H380" s="19">
        <f t="shared" ref="H380:J380" ca="1" si="379">(C380/C379) - 1</f>
        <v>1.4013804643379979E-2</v>
      </c>
      <c r="I380" s="19">
        <f t="shared" si="379"/>
        <v>1.8770530267482322E-3</v>
      </c>
      <c r="J380" s="17">
        <f t="shared" si="379"/>
        <v>-1.7023120492740684E-3</v>
      </c>
    </row>
    <row r="381" spans="2:10" ht="15.75" customHeight="1" x14ac:dyDescent="0.25">
      <c r="B381" s="21">
        <f ca="1">IFERROR(__xludf.DUMMYFUNCTION("""COMPUTED_VALUE"""),45110.5416666666)</f>
        <v>45110.541666666599</v>
      </c>
      <c r="C381" s="22">
        <f ca="1">IFERROR(__xludf.DUMMYFUNCTION("""COMPUTED_VALUE"""),146.61)</f>
        <v>146.61000000000001</v>
      </c>
      <c r="D381" s="22">
        <v>86.41</v>
      </c>
      <c r="E381" s="23">
        <v>326.61</v>
      </c>
      <c r="G381" s="21">
        <f t="shared" ca="1" si="259"/>
        <v>45110.541666666599</v>
      </c>
      <c r="H381" s="19">
        <f t="shared" ref="H381:J381" ca="1" si="380">(C381/C380) - 1</f>
        <v>8.0445544554457182E-3</v>
      </c>
      <c r="I381" s="19">
        <f t="shared" si="380"/>
        <v>1.1826697892271643E-2</v>
      </c>
      <c r="J381" s="17">
        <f t="shared" si="380"/>
        <v>1.2618589942332781E-2</v>
      </c>
    </row>
    <row r="382" spans="2:10" ht="15.75" customHeight="1" x14ac:dyDescent="0.25">
      <c r="B382" s="21">
        <f ca="1">IFERROR(__xludf.DUMMYFUNCTION("""COMPUTED_VALUE"""),45112.6666666666)</f>
        <v>45112.666666666599</v>
      </c>
      <c r="C382" s="22">
        <f ca="1">IFERROR(__xludf.DUMMYFUNCTION("""COMPUTED_VALUE"""),144.64)</f>
        <v>144.63999999999999</v>
      </c>
      <c r="D382" s="22">
        <v>85.92</v>
      </c>
      <c r="E382" s="23">
        <v>320.05</v>
      </c>
      <c r="G382" s="21">
        <f t="shared" ca="1" si="259"/>
        <v>45112.666666666599</v>
      </c>
      <c r="H382" s="19">
        <f t="shared" ref="H382:J382" ca="1" si="381">(C382/C381) - 1</f>
        <v>-1.3437009753768714E-2</v>
      </c>
      <c r="I382" s="19">
        <f t="shared" si="381"/>
        <v>-5.6706399722253886E-3</v>
      </c>
      <c r="J382" s="17">
        <f t="shared" si="381"/>
        <v>-2.0085116805976577E-2</v>
      </c>
    </row>
    <row r="383" spans="2:10" ht="15.75" customHeight="1" x14ac:dyDescent="0.25">
      <c r="B383" s="21">
        <f ca="1">IFERROR(__xludf.DUMMYFUNCTION("""COMPUTED_VALUE"""),45113.6666666666)</f>
        <v>45113.666666666599</v>
      </c>
      <c r="C383" s="22">
        <f ca="1">IFERROR(__xludf.DUMMYFUNCTION("""COMPUTED_VALUE"""),143.21)</f>
        <v>143.21</v>
      </c>
      <c r="D383" s="22">
        <v>83.33</v>
      </c>
      <c r="E383" s="23">
        <v>313</v>
      </c>
      <c r="G383" s="21">
        <f t="shared" ca="1" si="259"/>
        <v>45113.666666666599</v>
      </c>
      <c r="H383" s="19">
        <f t="shared" ref="H383:J383" ca="1" si="382">(C383/C382) - 1</f>
        <v>-9.8866150442475931E-3</v>
      </c>
      <c r="I383" s="19">
        <f t="shared" si="382"/>
        <v>-3.0144320297951666E-2</v>
      </c>
      <c r="J383" s="17">
        <f t="shared" si="382"/>
        <v>-2.2027808154975848E-2</v>
      </c>
    </row>
    <row r="384" spans="2:10" ht="15.75" customHeight="1" x14ac:dyDescent="0.25">
      <c r="B384" s="21">
        <f ca="1">IFERROR(__xludf.DUMMYFUNCTION("""COMPUTED_VALUE"""),45114.6666666666)</f>
        <v>45114.666666666599</v>
      </c>
      <c r="C384" s="22">
        <f ca="1">IFERROR(__xludf.DUMMYFUNCTION("""COMPUTED_VALUE"""),144.34)</f>
        <v>144.34</v>
      </c>
      <c r="D384" s="22">
        <v>83.36</v>
      </c>
      <c r="E384" s="23">
        <v>315.17</v>
      </c>
      <c r="G384" s="21">
        <f t="shared" ca="1" si="259"/>
        <v>45114.666666666599</v>
      </c>
      <c r="H384" s="19">
        <f t="shared" ref="H384:J384" ca="1" si="383">(C384/C383) - 1</f>
        <v>7.8905104392150704E-3</v>
      </c>
      <c r="I384" s="19">
        <f t="shared" si="383"/>
        <v>3.6001440057598089E-4</v>
      </c>
      <c r="J384" s="17">
        <f t="shared" si="383"/>
        <v>6.9329073482429227E-3</v>
      </c>
    </row>
    <row r="385" spans="2:10" ht="15.75" customHeight="1" x14ac:dyDescent="0.25">
      <c r="B385" s="21">
        <f ca="1">IFERROR(__xludf.DUMMYFUNCTION("""COMPUTED_VALUE"""),45117.6666666666)</f>
        <v>45117.666666666599</v>
      </c>
      <c r="C385" s="22">
        <f ca="1">IFERROR(__xludf.DUMMYFUNCTION("""COMPUTED_VALUE"""),145.15)</f>
        <v>145.15</v>
      </c>
      <c r="D385" s="22">
        <v>83.4</v>
      </c>
      <c r="E385" s="23">
        <v>316.47000000000003</v>
      </c>
      <c r="G385" s="21">
        <f t="shared" ca="1" si="259"/>
        <v>45117.666666666599</v>
      </c>
      <c r="H385" s="19">
        <f t="shared" ref="H385:J385" ca="1" si="384">(C385/C384) - 1</f>
        <v>5.6117500346404281E-3</v>
      </c>
      <c r="I385" s="19">
        <f t="shared" si="384"/>
        <v>4.7984644913645624E-4</v>
      </c>
      <c r="J385" s="17">
        <f t="shared" si="384"/>
        <v>4.1247580670749073E-3</v>
      </c>
    </row>
    <row r="386" spans="2:10" ht="15.75" customHeight="1" x14ac:dyDescent="0.25">
      <c r="B386" s="21">
        <f ca="1">IFERROR(__xludf.DUMMYFUNCTION("""COMPUTED_VALUE"""),45118.6666666666)</f>
        <v>45118.666666666599</v>
      </c>
      <c r="C386" s="22">
        <f ca="1">IFERROR(__xludf.DUMMYFUNCTION("""COMPUTED_VALUE"""),147.42)</f>
        <v>147.41999999999999</v>
      </c>
      <c r="D386" s="22">
        <v>84.96</v>
      </c>
      <c r="E386" s="23">
        <v>320.88</v>
      </c>
      <c r="G386" s="21">
        <f t="shared" ca="1" si="259"/>
        <v>45118.666666666599</v>
      </c>
      <c r="H386" s="19">
        <f t="shared" ref="H386:J386" ca="1" si="385">(C386/C385) - 1</f>
        <v>1.5638994143988949E-2</v>
      </c>
      <c r="I386" s="19">
        <f t="shared" si="385"/>
        <v>1.8705035971222861E-2</v>
      </c>
      <c r="J386" s="17">
        <f t="shared" si="385"/>
        <v>1.3934970139349634E-2</v>
      </c>
    </row>
    <row r="387" spans="2:10" ht="15.75" customHeight="1" x14ac:dyDescent="0.25">
      <c r="B387" s="21">
        <f ca="1">IFERROR(__xludf.DUMMYFUNCTION("""COMPUTED_VALUE"""),45119.6666666666)</f>
        <v>45119.666666666599</v>
      </c>
      <c r="C387" s="22">
        <f ca="1">IFERROR(__xludf.DUMMYFUNCTION("""COMPUTED_VALUE"""),148.15)</f>
        <v>148.15</v>
      </c>
      <c r="D387" s="22">
        <v>85.77</v>
      </c>
      <c r="E387" s="23">
        <v>326.39999999999998</v>
      </c>
      <c r="G387" s="21">
        <f t="shared" ca="1" si="259"/>
        <v>45119.666666666599</v>
      </c>
      <c r="H387" s="19">
        <f t="shared" ref="H387:J387" ca="1" si="386">(C387/C386) - 1</f>
        <v>4.9518382851716503E-3</v>
      </c>
      <c r="I387" s="19">
        <f t="shared" si="386"/>
        <v>9.5338983050847759E-3</v>
      </c>
      <c r="J387" s="17">
        <f t="shared" si="386"/>
        <v>1.7202692595362779E-2</v>
      </c>
    </row>
    <row r="388" spans="2:10" ht="15.75" customHeight="1" x14ac:dyDescent="0.25">
      <c r="B388" s="21">
        <f ca="1">IFERROR(__xludf.DUMMYFUNCTION("""COMPUTED_VALUE"""),45120.6666666666)</f>
        <v>45120.666666666599</v>
      </c>
      <c r="C388" s="22">
        <f ca="1">IFERROR(__xludf.DUMMYFUNCTION("""COMPUTED_VALUE"""),148.87)</f>
        <v>148.87</v>
      </c>
      <c r="D388" s="22">
        <v>86.21</v>
      </c>
      <c r="E388" s="23">
        <v>328.68</v>
      </c>
      <c r="G388" s="21">
        <f t="shared" ca="1" si="259"/>
        <v>45120.666666666599</v>
      </c>
      <c r="H388" s="19">
        <f t="shared" ref="H388:J388" ca="1" si="387">(C388/C387) - 1</f>
        <v>4.8599392507593375E-3</v>
      </c>
      <c r="I388" s="19">
        <f t="shared" si="387"/>
        <v>5.129998834091154E-3</v>
      </c>
      <c r="J388" s="17">
        <f t="shared" si="387"/>
        <v>6.985294117647145E-3</v>
      </c>
    </row>
    <row r="389" spans="2:10" ht="15.75" customHeight="1" x14ac:dyDescent="0.25">
      <c r="B389" s="21">
        <f ca="1">IFERROR(__xludf.DUMMYFUNCTION("""COMPUTED_VALUE"""),45121.6666666666)</f>
        <v>45121.666666666599</v>
      </c>
      <c r="C389" s="22">
        <f ca="1">IFERROR(__xludf.DUMMYFUNCTION("""COMPUTED_VALUE"""),149.77)</f>
        <v>149.77000000000001</v>
      </c>
      <c r="D389" s="22">
        <v>85.78</v>
      </c>
      <c r="E389" s="23">
        <v>326.19</v>
      </c>
      <c r="G389" s="21">
        <f t="shared" ca="1" si="259"/>
        <v>45121.666666666599</v>
      </c>
      <c r="H389" s="19">
        <f t="shared" ref="H389:J389" ca="1" si="388">(C389/C388) - 1</f>
        <v>6.0455430912877972E-3</v>
      </c>
      <c r="I389" s="19">
        <f t="shared" si="388"/>
        <v>-4.98782043846413E-3</v>
      </c>
      <c r="J389" s="17">
        <f t="shared" si="388"/>
        <v>-7.575757575757569E-3</v>
      </c>
    </row>
    <row r="390" spans="2:10" ht="15.75" customHeight="1" x14ac:dyDescent="0.25">
      <c r="B390" s="21">
        <f ca="1">IFERROR(__xludf.DUMMYFUNCTION("""COMPUTED_VALUE"""),45124.6666666666)</f>
        <v>45124.666666666599</v>
      </c>
      <c r="C390" s="22">
        <f ca="1">IFERROR(__xludf.DUMMYFUNCTION("""COMPUTED_VALUE"""),153.38)</f>
        <v>153.38</v>
      </c>
      <c r="D390" s="22">
        <v>86.37</v>
      </c>
      <c r="E390" s="23">
        <v>327.2</v>
      </c>
      <c r="G390" s="21">
        <f t="shared" ca="1" si="259"/>
        <v>45124.666666666599</v>
      </c>
      <c r="H390" s="19">
        <f t="shared" ref="H390:J390" ca="1" si="389">(C390/C389) - 1</f>
        <v>2.4103625559190656E-2</v>
      </c>
      <c r="I390" s="19">
        <f t="shared" si="389"/>
        <v>6.8780601538820374E-3</v>
      </c>
      <c r="J390" s="17">
        <f t="shared" si="389"/>
        <v>3.0963548851896672E-3</v>
      </c>
    </row>
    <row r="391" spans="2:10" ht="15.75" customHeight="1" x14ac:dyDescent="0.25">
      <c r="B391" s="21">
        <f ca="1">IFERROR(__xludf.DUMMYFUNCTION("""COMPUTED_VALUE"""),45125.6666666666)</f>
        <v>45125.666666666599</v>
      </c>
      <c r="C391" s="22">
        <f ca="1">IFERROR(__xludf.DUMMYFUNCTION("""COMPUTED_VALUE"""),153.66)</f>
        <v>153.66</v>
      </c>
      <c r="D391" s="22">
        <v>91.94</v>
      </c>
      <c r="E391" s="23">
        <v>337.27</v>
      </c>
      <c r="G391" s="21">
        <f t="shared" ca="1" si="259"/>
        <v>45125.666666666599</v>
      </c>
      <c r="H391" s="19">
        <f t="shared" ref="H391:J391" ca="1" si="390">(C391/C390) - 1</f>
        <v>1.8255313600208378E-3</v>
      </c>
      <c r="I391" s="19">
        <f t="shared" si="390"/>
        <v>6.4489984948477463E-2</v>
      </c>
      <c r="J391" s="17">
        <f t="shared" si="390"/>
        <v>3.0776283618581868E-2</v>
      </c>
    </row>
    <row r="392" spans="2:10" ht="15.75" customHeight="1" x14ac:dyDescent="0.25">
      <c r="B392" s="21">
        <f ca="1">IFERROR(__xludf.DUMMYFUNCTION("""COMPUTED_VALUE"""),45126.6666666666)</f>
        <v>45126.666666666599</v>
      </c>
      <c r="C392" s="22">
        <f ca="1">IFERROR(__xludf.DUMMYFUNCTION("""COMPUTED_VALUE"""),154.25)</f>
        <v>154.25</v>
      </c>
      <c r="D392" s="22">
        <v>93.16</v>
      </c>
      <c r="E392" s="23">
        <v>340.55</v>
      </c>
      <c r="G392" s="21">
        <f t="shared" ca="1" si="259"/>
        <v>45126.666666666599</v>
      </c>
      <c r="H392" s="19">
        <f t="shared" ref="H392:J392" ca="1" si="391">(C392/C391) - 1</f>
        <v>3.8396459716256715E-3</v>
      </c>
      <c r="I392" s="19">
        <f t="shared" si="391"/>
        <v>1.3269523602349453E-2</v>
      </c>
      <c r="J392" s="17">
        <f t="shared" si="391"/>
        <v>9.7251460254397237E-3</v>
      </c>
    </row>
    <row r="393" spans="2:10" ht="15.75" customHeight="1" x14ac:dyDescent="0.25">
      <c r="B393" s="21">
        <f ca="1">IFERROR(__xludf.DUMMYFUNCTION("""COMPUTED_VALUE"""),45127.6666666666)</f>
        <v>45127.666666666599</v>
      </c>
      <c r="C393" s="22">
        <f ca="1">IFERROR(__xludf.DUMMYFUNCTION("""COMPUTED_VALUE"""),156.15)</f>
        <v>156.15</v>
      </c>
      <c r="D393" s="22">
        <v>93.8</v>
      </c>
      <c r="E393" s="23">
        <v>350.86</v>
      </c>
      <c r="G393" s="21">
        <f t="shared" ca="1" si="259"/>
        <v>45127.666666666599</v>
      </c>
      <c r="H393" s="19">
        <f t="shared" ref="H393:J393" ca="1" si="392">(C393/C392) - 1</f>
        <v>1.2317666126418159E-2</v>
      </c>
      <c r="I393" s="19">
        <f t="shared" si="392"/>
        <v>6.8699012451696184E-3</v>
      </c>
      <c r="J393" s="17">
        <f t="shared" si="392"/>
        <v>3.0274555865511754E-2</v>
      </c>
    </row>
    <row r="394" spans="2:10" ht="15.75" customHeight="1" x14ac:dyDescent="0.25">
      <c r="B394" s="21">
        <f ca="1">IFERROR(__xludf.DUMMYFUNCTION("""COMPUTED_VALUE"""),45128.6666666666)</f>
        <v>45128.666666666599</v>
      </c>
      <c r="C394" s="22">
        <f ca="1">IFERROR(__xludf.DUMMYFUNCTION("""COMPUTED_VALUE"""),154.95)</f>
        <v>154.94999999999999</v>
      </c>
      <c r="D394" s="22">
        <v>94.01</v>
      </c>
      <c r="E394" s="23">
        <v>351.96</v>
      </c>
      <c r="G394" s="21">
        <f t="shared" ca="1" si="259"/>
        <v>45128.666666666599</v>
      </c>
      <c r="H394" s="19">
        <f t="shared" ref="H394:J394" ca="1" si="393">(C394/C393) - 1</f>
        <v>-7.684918347742653E-3</v>
      </c>
      <c r="I394" s="19">
        <f t="shared" si="393"/>
        <v>2.2388059701492491E-3</v>
      </c>
      <c r="J394" s="17">
        <f t="shared" si="393"/>
        <v>3.1351536225274756E-3</v>
      </c>
    </row>
    <row r="395" spans="2:10" ht="15.75" customHeight="1" x14ac:dyDescent="0.25">
      <c r="B395" s="21">
        <f ca="1">IFERROR(__xludf.DUMMYFUNCTION("""COMPUTED_VALUE"""),45131.6666666666)</f>
        <v>45131.666666666599</v>
      </c>
      <c r="C395" s="22">
        <f ca="1">IFERROR(__xludf.DUMMYFUNCTION("""COMPUTED_VALUE"""),158)</f>
        <v>158</v>
      </c>
      <c r="D395" s="22">
        <v>94.67</v>
      </c>
      <c r="E395" s="23">
        <v>358.93</v>
      </c>
      <c r="G395" s="21">
        <f t="shared" ca="1" si="259"/>
        <v>45131.666666666599</v>
      </c>
      <c r="H395" s="19">
        <f t="shared" ref="H395:J395" ca="1" si="394">(C395/C394) - 1</f>
        <v>1.9683768957728276E-2</v>
      </c>
      <c r="I395" s="19">
        <f t="shared" si="394"/>
        <v>7.0205297308796322E-3</v>
      </c>
      <c r="J395" s="17">
        <f t="shared" si="394"/>
        <v>1.9803386748494134E-2</v>
      </c>
    </row>
    <row r="396" spans="2:10" ht="15.75" customHeight="1" x14ac:dyDescent="0.25">
      <c r="B396" s="21">
        <f ca="1">IFERROR(__xludf.DUMMYFUNCTION("""COMPUTED_VALUE"""),45132.6666666666)</f>
        <v>45132.666666666599</v>
      </c>
      <c r="C396" s="22">
        <f ca="1">IFERROR(__xludf.DUMMYFUNCTION("""COMPUTED_VALUE"""),156.82)</f>
        <v>156.82</v>
      </c>
      <c r="D396" s="22">
        <v>94.42</v>
      </c>
      <c r="E396" s="23">
        <v>354.7</v>
      </c>
      <c r="G396" s="21">
        <f t="shared" ca="1" si="259"/>
        <v>45132.666666666599</v>
      </c>
      <c r="H396" s="19">
        <f t="shared" ref="H396:J396" ca="1" si="395">(C396/C395) - 1</f>
        <v>-7.4683544303797422E-3</v>
      </c>
      <c r="I396" s="19">
        <f t="shared" si="395"/>
        <v>-2.6407520861941869E-3</v>
      </c>
      <c r="J396" s="17">
        <f t="shared" si="395"/>
        <v>-1.1785027721282759E-2</v>
      </c>
    </row>
    <row r="397" spans="2:10" ht="15.75" customHeight="1" x14ac:dyDescent="0.25">
      <c r="B397" s="21">
        <f ca="1">IFERROR(__xludf.DUMMYFUNCTION("""COMPUTED_VALUE"""),45133.6666666666)</f>
        <v>45133.666666666599</v>
      </c>
      <c r="C397" s="22">
        <f ca="1">IFERROR(__xludf.DUMMYFUNCTION("""COMPUTED_VALUE"""),157.76)</f>
        <v>157.76</v>
      </c>
      <c r="D397" s="22">
        <v>93.54</v>
      </c>
      <c r="E397" s="23">
        <v>357.56</v>
      </c>
      <c r="G397" s="21">
        <f t="shared" ca="1" si="259"/>
        <v>45133.666666666599</v>
      </c>
      <c r="H397" s="19">
        <f t="shared" ref="H397:J397" ca="1" si="396">(C397/C396) - 1</f>
        <v>5.9941334013517977E-3</v>
      </c>
      <c r="I397" s="19">
        <f t="shared" si="396"/>
        <v>-9.3200593094683315E-3</v>
      </c>
      <c r="J397" s="17">
        <f t="shared" si="396"/>
        <v>8.063151959402326E-3</v>
      </c>
    </row>
    <row r="398" spans="2:10" ht="15.75" customHeight="1" x14ac:dyDescent="0.25">
      <c r="B398" s="21">
        <f ca="1">IFERROR(__xludf.DUMMYFUNCTION("""COMPUTED_VALUE"""),45134.6666666666)</f>
        <v>45134.666666666599</v>
      </c>
      <c r="C398" s="22">
        <f ca="1">IFERROR(__xludf.DUMMYFUNCTION("""COMPUTED_VALUE"""),156.02)</f>
        <v>156.02000000000001</v>
      </c>
      <c r="D398" s="22">
        <v>92.75</v>
      </c>
      <c r="E398" s="23">
        <v>354.51</v>
      </c>
      <c r="G398" s="21">
        <f t="shared" ca="1" si="259"/>
        <v>45134.666666666599</v>
      </c>
      <c r="H398" s="19">
        <f t="shared" ref="H398:J398" ca="1" si="397">(C398/C397) - 1</f>
        <v>-1.1029411764705732E-2</v>
      </c>
      <c r="I398" s="19">
        <f t="shared" si="397"/>
        <v>-8.4455847765662062E-3</v>
      </c>
      <c r="J398" s="17">
        <f t="shared" si="397"/>
        <v>-8.5300369168811452E-3</v>
      </c>
    </row>
    <row r="399" spans="2:10" ht="15.75" customHeight="1" x14ac:dyDescent="0.25">
      <c r="B399" s="21">
        <f ca="1">IFERROR(__xludf.DUMMYFUNCTION("""COMPUTED_VALUE"""),45135.6666666666)</f>
        <v>45135.666666666599</v>
      </c>
      <c r="C399" s="22">
        <f ca="1">IFERROR(__xludf.DUMMYFUNCTION("""COMPUTED_VALUE"""),156.91)</f>
        <v>156.91</v>
      </c>
      <c r="D399" s="22">
        <v>91.57</v>
      </c>
      <c r="E399" s="23">
        <v>353.23</v>
      </c>
      <c r="G399" s="21">
        <f t="shared" ca="1" si="259"/>
        <v>45135.666666666599</v>
      </c>
      <c r="H399" s="19">
        <f t="shared" ref="H399:J399" ca="1" si="398">(C399/C398) - 1</f>
        <v>5.704396872195705E-3</v>
      </c>
      <c r="I399" s="19">
        <f t="shared" si="398"/>
        <v>-1.2722371967655022E-2</v>
      </c>
      <c r="J399" s="17">
        <f t="shared" si="398"/>
        <v>-3.61061747200353E-3</v>
      </c>
    </row>
    <row r="400" spans="2:10" ht="15.75" customHeight="1" x14ac:dyDescent="0.25">
      <c r="B400" s="21">
        <f ca="1">IFERROR(__xludf.DUMMYFUNCTION("""COMPUTED_VALUE"""),45138.6666666666)</f>
        <v>45138.666666666599</v>
      </c>
      <c r="C400" s="22">
        <f ca="1">IFERROR(__xludf.DUMMYFUNCTION("""COMPUTED_VALUE"""),157.96)</f>
        <v>157.96</v>
      </c>
      <c r="D400" s="22">
        <v>91.56</v>
      </c>
      <c r="E400" s="23">
        <v>355.87</v>
      </c>
      <c r="G400" s="21">
        <f t="shared" ca="1" si="259"/>
        <v>45138.666666666599</v>
      </c>
      <c r="H400" s="19">
        <f t="shared" ref="H400:J400" ca="1" si="399">(C400/C399) - 1</f>
        <v>6.6917341150978249E-3</v>
      </c>
      <c r="I400" s="19">
        <f t="shared" si="399"/>
        <v>-1.0920607185749276E-4</v>
      </c>
      <c r="J400" s="17">
        <f t="shared" si="399"/>
        <v>7.4738838716983391E-3</v>
      </c>
    </row>
    <row r="401" spans="2:10" ht="15.75" customHeight="1" x14ac:dyDescent="0.25">
      <c r="B401" s="21">
        <f ca="1">IFERROR(__xludf.DUMMYFUNCTION("""COMPUTED_VALUE"""),45139.6666666666)</f>
        <v>45139.666666666599</v>
      </c>
      <c r="C401" s="22">
        <f ca="1">IFERROR(__xludf.DUMMYFUNCTION("""COMPUTED_VALUE"""),157.18)</f>
        <v>157.18</v>
      </c>
      <c r="D401" s="22">
        <v>90.94</v>
      </c>
      <c r="E401" s="23">
        <v>357.72</v>
      </c>
      <c r="G401" s="21">
        <f t="shared" ca="1" si="259"/>
        <v>45139.666666666599</v>
      </c>
      <c r="H401" s="19">
        <f t="shared" ref="H401:J401" ca="1" si="400">(C401/C400) - 1</f>
        <v>-4.9379589769561472E-3</v>
      </c>
      <c r="I401" s="19">
        <f t="shared" si="400"/>
        <v>-6.7715159458279217E-3</v>
      </c>
      <c r="J401" s="17">
        <f t="shared" si="400"/>
        <v>5.198527552196186E-3</v>
      </c>
    </row>
    <row r="402" spans="2:10" ht="15.75" customHeight="1" x14ac:dyDescent="0.25">
      <c r="B402" s="21">
        <f ca="1">IFERROR(__xludf.DUMMYFUNCTION("""COMPUTED_VALUE"""),45140.6666666666)</f>
        <v>45140.666666666599</v>
      </c>
      <c r="C402" s="22">
        <f ca="1">IFERROR(__xludf.DUMMYFUNCTION("""COMPUTED_VALUE"""),155.4)</f>
        <v>155.4</v>
      </c>
      <c r="D402" s="22">
        <v>89.32</v>
      </c>
      <c r="E402" s="23">
        <v>351.1</v>
      </c>
      <c r="G402" s="21">
        <f t="shared" ca="1" si="259"/>
        <v>45140.666666666599</v>
      </c>
      <c r="H402" s="19">
        <f t="shared" ref="H402:J402" ca="1" si="401">(C402/C401) - 1</f>
        <v>-1.1324596004580689E-2</v>
      </c>
      <c r="I402" s="19">
        <f t="shared" si="401"/>
        <v>-1.7813943259291865E-2</v>
      </c>
      <c r="J402" s="17">
        <f t="shared" si="401"/>
        <v>-1.8506094151850672E-2</v>
      </c>
    </row>
    <row r="403" spans="2:10" ht="15.75" customHeight="1" x14ac:dyDescent="0.25">
      <c r="B403" s="21">
        <f ca="1">IFERROR(__xludf.DUMMYFUNCTION("""COMPUTED_VALUE"""),45141.6666666666)</f>
        <v>45141.666666666599</v>
      </c>
      <c r="C403" s="22">
        <f ca="1">IFERROR(__xludf.DUMMYFUNCTION("""COMPUTED_VALUE"""),156.35)</f>
        <v>156.35</v>
      </c>
      <c r="D403" s="22">
        <v>89.14</v>
      </c>
      <c r="E403" s="23">
        <v>353.16</v>
      </c>
      <c r="G403" s="21">
        <f t="shared" ca="1" si="259"/>
        <v>45141.666666666599</v>
      </c>
      <c r="H403" s="19">
        <f t="shared" ref="H403:J403" ca="1" si="402">(C403/C402) - 1</f>
        <v>6.1132561132559715E-3</v>
      </c>
      <c r="I403" s="19">
        <f t="shared" si="402"/>
        <v>-2.0152261531570792E-3</v>
      </c>
      <c r="J403" s="17">
        <f t="shared" si="402"/>
        <v>5.8672742808316691E-3</v>
      </c>
    </row>
    <row r="404" spans="2:10" ht="15.75" customHeight="1" x14ac:dyDescent="0.25">
      <c r="B404" s="21">
        <f ca="1">IFERROR(__xludf.DUMMYFUNCTION("""COMPUTED_VALUE"""),45142.6666666666)</f>
        <v>45142.666666666599</v>
      </c>
      <c r="C404" s="22">
        <f ca="1">IFERROR(__xludf.DUMMYFUNCTION("""COMPUTED_VALUE"""),156.02)</f>
        <v>156.02000000000001</v>
      </c>
      <c r="D404" s="22">
        <v>88.79</v>
      </c>
      <c r="E404" s="23">
        <v>353.22</v>
      </c>
      <c r="G404" s="21">
        <f t="shared" ca="1" si="259"/>
        <v>45142.666666666599</v>
      </c>
      <c r="H404" s="19">
        <f t="shared" ref="H404:J404" ca="1" si="403">(C404/C403) - 1</f>
        <v>-2.1106491845217512E-3</v>
      </c>
      <c r="I404" s="19">
        <f t="shared" si="403"/>
        <v>-3.9264078976889438E-3</v>
      </c>
      <c r="J404" s="17">
        <f t="shared" si="403"/>
        <v>1.6989466530747954E-4</v>
      </c>
    </row>
    <row r="405" spans="2:10" ht="15.75" customHeight="1" x14ac:dyDescent="0.25">
      <c r="B405" s="21">
        <f ca="1">IFERROR(__xludf.DUMMYFUNCTION("""COMPUTED_VALUE"""),45145.6666666666)</f>
        <v>45145.666666666599</v>
      </c>
      <c r="C405" s="22">
        <f ca="1">IFERROR(__xludf.DUMMYFUNCTION("""COMPUTED_VALUE"""),156.76)</f>
        <v>156.76</v>
      </c>
      <c r="D405" s="22">
        <v>89.08</v>
      </c>
      <c r="E405" s="23">
        <v>355.56</v>
      </c>
      <c r="G405" s="21">
        <f t="shared" ca="1" si="259"/>
        <v>45145.666666666599</v>
      </c>
      <c r="H405" s="19">
        <f t="shared" ref="H405:J405" ca="1" si="404">(C405/C404) - 1</f>
        <v>4.7429816690167659E-3</v>
      </c>
      <c r="I405" s="19">
        <f t="shared" si="404"/>
        <v>3.2661335736006158E-3</v>
      </c>
      <c r="J405" s="17">
        <f t="shared" si="404"/>
        <v>6.6247664345167045E-3</v>
      </c>
    </row>
    <row r="406" spans="2:10" ht="15.75" customHeight="1" x14ac:dyDescent="0.25">
      <c r="B406" s="21">
        <f ca="1">IFERROR(__xludf.DUMMYFUNCTION("""COMPUTED_VALUE"""),45146.6666666666)</f>
        <v>45146.666666666599</v>
      </c>
      <c r="C406" s="22">
        <f ca="1">IFERROR(__xludf.DUMMYFUNCTION("""COMPUTED_VALUE"""),155.88)</f>
        <v>155.88</v>
      </c>
      <c r="D406" s="22">
        <v>88.47</v>
      </c>
      <c r="E406" s="23">
        <v>348.26</v>
      </c>
      <c r="G406" s="21">
        <f t="shared" ca="1" si="259"/>
        <v>45146.666666666599</v>
      </c>
      <c r="H406" s="19">
        <f t="shared" ref="H406:J406" ca="1" si="405">(C406/C405) - 1</f>
        <v>-5.6136769584077539E-3</v>
      </c>
      <c r="I406" s="19">
        <f t="shared" si="405"/>
        <v>-6.8477772788504421E-3</v>
      </c>
      <c r="J406" s="17">
        <f t="shared" si="405"/>
        <v>-2.0530993362583017E-2</v>
      </c>
    </row>
    <row r="407" spans="2:10" ht="15.75" customHeight="1" x14ac:dyDescent="0.25">
      <c r="B407" s="21">
        <f ca="1">IFERROR(__xludf.DUMMYFUNCTION("""COMPUTED_VALUE"""),45147.6666666666)</f>
        <v>45147.666666666599</v>
      </c>
      <c r="C407" s="22">
        <f ca="1">IFERROR(__xludf.DUMMYFUNCTION("""COMPUTED_VALUE"""),153.79)</f>
        <v>153.79</v>
      </c>
      <c r="D407" s="22">
        <v>87.56</v>
      </c>
      <c r="E407" s="23">
        <v>342.69</v>
      </c>
      <c r="G407" s="21">
        <f t="shared" ca="1" si="259"/>
        <v>45147.666666666599</v>
      </c>
      <c r="H407" s="19">
        <f t="shared" ref="H407:J407" ca="1" si="406">(C407/C406) - 1</f>
        <v>-1.3407749550936598E-2</v>
      </c>
      <c r="I407" s="19">
        <f t="shared" si="406"/>
        <v>-1.0285972646094654E-2</v>
      </c>
      <c r="J407" s="17">
        <f t="shared" si="406"/>
        <v>-1.5993797737322679E-2</v>
      </c>
    </row>
    <row r="408" spans="2:10" ht="15.75" customHeight="1" x14ac:dyDescent="0.25">
      <c r="B408" s="21">
        <f ca="1">IFERROR(__xludf.DUMMYFUNCTION("""COMPUTED_VALUE"""),45148.6666666666)</f>
        <v>45148.666666666599</v>
      </c>
      <c r="C408" s="22">
        <f ca="1">IFERROR(__xludf.DUMMYFUNCTION("""COMPUTED_VALUE"""),153.56)</f>
        <v>153.56</v>
      </c>
      <c r="D408" s="22">
        <v>87.64</v>
      </c>
      <c r="E408" s="23">
        <v>340.4</v>
      </c>
      <c r="G408" s="21">
        <f t="shared" ca="1" si="259"/>
        <v>45148.666666666599</v>
      </c>
      <c r="H408" s="19">
        <f t="shared" ref="H408:J408" ca="1" si="407">(C408/C407) - 1</f>
        <v>-1.4955458742440531E-3</v>
      </c>
      <c r="I408" s="19">
        <f t="shared" si="407"/>
        <v>9.1365920511643495E-4</v>
      </c>
      <c r="J408" s="17">
        <f t="shared" si="407"/>
        <v>-6.6824243485366086E-3</v>
      </c>
    </row>
    <row r="409" spans="2:10" ht="15.75" customHeight="1" x14ac:dyDescent="0.25">
      <c r="B409" s="21">
        <f ca="1">IFERROR(__xludf.DUMMYFUNCTION("""COMPUTED_VALUE"""),45149.6666666666)</f>
        <v>45149.666666666599</v>
      </c>
      <c r="C409" s="22">
        <f ca="1">IFERROR(__xludf.DUMMYFUNCTION("""COMPUTED_VALUE"""),154.45)</f>
        <v>154.44999999999999</v>
      </c>
      <c r="D409" s="22">
        <v>87.7</v>
      </c>
      <c r="E409" s="23">
        <v>340.73</v>
      </c>
      <c r="G409" s="21">
        <f t="shared" ca="1" si="259"/>
        <v>45149.666666666599</v>
      </c>
      <c r="H409" s="19">
        <f t="shared" ref="H409:J409" ca="1" si="408">(C409/C408) - 1</f>
        <v>5.7957801510808427E-3</v>
      </c>
      <c r="I409" s="19">
        <f t="shared" si="408"/>
        <v>6.8461889548143695E-4</v>
      </c>
      <c r="J409" s="17">
        <f t="shared" si="408"/>
        <v>9.6944770857820828E-4</v>
      </c>
    </row>
    <row r="410" spans="2:10" ht="15.75" customHeight="1" x14ac:dyDescent="0.25">
      <c r="B410" s="21">
        <f ca="1">IFERROR(__xludf.DUMMYFUNCTION("""COMPUTED_VALUE"""),45152.6666666666)</f>
        <v>45152.666666666599</v>
      </c>
      <c r="C410" s="22">
        <f ca="1">IFERROR(__xludf.DUMMYFUNCTION("""COMPUTED_VALUE"""),154.77)</f>
        <v>154.77000000000001</v>
      </c>
      <c r="D410" s="22">
        <v>87.33</v>
      </c>
      <c r="E410" s="23">
        <v>337.74</v>
      </c>
      <c r="G410" s="21">
        <f t="shared" ca="1" si="259"/>
        <v>45152.666666666599</v>
      </c>
      <c r="H410" s="19">
        <f t="shared" ref="H410:J410" ca="1" si="409">(C410/C409) - 1</f>
        <v>2.0718679184204003E-3</v>
      </c>
      <c r="I410" s="19">
        <f t="shared" si="409"/>
        <v>-4.2189281641962229E-3</v>
      </c>
      <c r="J410" s="17">
        <f t="shared" si="409"/>
        <v>-8.7752766119801873E-3</v>
      </c>
    </row>
    <row r="411" spans="2:10" ht="15.75" customHeight="1" x14ac:dyDescent="0.25">
      <c r="B411" s="21">
        <f ca="1">IFERROR(__xludf.DUMMYFUNCTION("""COMPUTED_VALUE"""),45153.6666666666)</f>
        <v>45153.666666666599</v>
      </c>
      <c r="C411" s="22">
        <f ca="1">IFERROR(__xludf.DUMMYFUNCTION("""COMPUTED_VALUE"""),150.83)</f>
        <v>150.83000000000001</v>
      </c>
      <c r="D411" s="22">
        <v>86.16</v>
      </c>
      <c r="E411" s="23">
        <v>332.21</v>
      </c>
      <c r="G411" s="21">
        <f t="shared" ca="1" si="259"/>
        <v>45153.666666666599</v>
      </c>
      <c r="H411" s="19">
        <f t="shared" ref="H411:J411" ca="1" si="410">(C411/C410) - 1</f>
        <v>-2.5457129934741807E-2</v>
      </c>
      <c r="I411" s="19">
        <f t="shared" si="410"/>
        <v>-1.3397457918241207E-2</v>
      </c>
      <c r="J411" s="17">
        <f t="shared" si="410"/>
        <v>-1.6373541777698897E-2</v>
      </c>
    </row>
    <row r="412" spans="2:10" ht="15.75" customHeight="1" x14ac:dyDescent="0.25">
      <c r="B412" s="21">
        <f ca="1">IFERROR(__xludf.DUMMYFUNCTION("""COMPUTED_VALUE"""),45154.6666666666)</f>
        <v>45154.666666666599</v>
      </c>
      <c r="C412" s="22">
        <f ca="1">IFERROR(__xludf.DUMMYFUNCTION("""COMPUTED_VALUE"""),150.19)</f>
        <v>150.19</v>
      </c>
      <c r="D412" s="22">
        <v>85.99</v>
      </c>
      <c r="E412" s="23">
        <v>329.11</v>
      </c>
      <c r="G412" s="21">
        <f t="shared" ca="1" si="259"/>
        <v>45154.666666666599</v>
      </c>
      <c r="H412" s="19">
        <f t="shared" ref="H412:J412" ca="1" si="411">(C412/C411) - 1</f>
        <v>-4.2431876947557345E-3</v>
      </c>
      <c r="I412" s="19">
        <f t="shared" si="411"/>
        <v>-1.9730733519034427E-3</v>
      </c>
      <c r="J412" s="17">
        <f t="shared" si="411"/>
        <v>-9.3314469763100538E-3</v>
      </c>
    </row>
    <row r="413" spans="2:10" ht="15.75" customHeight="1" x14ac:dyDescent="0.25">
      <c r="B413" s="21">
        <f ca="1">IFERROR(__xludf.DUMMYFUNCTION("""COMPUTED_VALUE"""),45155.6666666666)</f>
        <v>45155.666666666599</v>
      </c>
      <c r="C413" s="22">
        <f ca="1">IFERROR(__xludf.DUMMYFUNCTION("""COMPUTED_VALUE"""),148.63)</f>
        <v>148.63</v>
      </c>
      <c r="D413" s="22">
        <v>85.79</v>
      </c>
      <c r="E413" s="23">
        <v>327.52</v>
      </c>
      <c r="G413" s="21">
        <f t="shared" ca="1" si="259"/>
        <v>45155.666666666599</v>
      </c>
      <c r="H413" s="19">
        <f t="shared" ref="H413:J413" ca="1" si="412">(C413/C412) - 1</f>
        <v>-1.0386843331779749E-2</v>
      </c>
      <c r="I413" s="19">
        <f t="shared" si="412"/>
        <v>-2.3258518432374142E-3</v>
      </c>
      <c r="J413" s="17">
        <f t="shared" si="412"/>
        <v>-4.8312114490597358E-3</v>
      </c>
    </row>
    <row r="414" spans="2:10" ht="15.75" customHeight="1" x14ac:dyDescent="0.25">
      <c r="B414" s="21">
        <f ca="1">IFERROR(__xludf.DUMMYFUNCTION("""COMPUTED_VALUE"""),45156.6666666666)</f>
        <v>45156.666666666599</v>
      </c>
      <c r="C414" s="22">
        <f ca="1">IFERROR(__xludf.DUMMYFUNCTION("""COMPUTED_VALUE"""),148.97)</f>
        <v>148.97</v>
      </c>
      <c r="D414" s="22">
        <v>84.89</v>
      </c>
      <c r="E414" s="23">
        <v>324.93</v>
      </c>
      <c r="G414" s="21">
        <f t="shared" ca="1" si="259"/>
        <v>45156.666666666599</v>
      </c>
      <c r="H414" s="19">
        <f t="shared" ref="H414:J414" ca="1" si="413">(C414/C413) - 1</f>
        <v>2.2875597120366464E-3</v>
      </c>
      <c r="I414" s="19">
        <f t="shared" si="413"/>
        <v>-1.0490733185686052E-2</v>
      </c>
      <c r="J414" s="17">
        <f t="shared" si="413"/>
        <v>-7.9079140205177145E-3</v>
      </c>
    </row>
    <row r="415" spans="2:10" ht="15.75" customHeight="1" x14ac:dyDescent="0.25">
      <c r="B415" s="21">
        <f ca="1">IFERROR(__xludf.DUMMYFUNCTION("""COMPUTED_VALUE"""),45159.6666666666)</f>
        <v>45159.666666666599</v>
      </c>
      <c r="C415" s="22">
        <f ca="1">IFERROR(__xludf.DUMMYFUNCTION("""COMPUTED_VALUE"""),149.48)</f>
        <v>149.47999999999999</v>
      </c>
      <c r="D415" s="22">
        <v>84.25</v>
      </c>
      <c r="E415" s="23">
        <v>322.06</v>
      </c>
      <c r="G415" s="21">
        <f t="shared" ca="1" si="259"/>
        <v>45159.666666666599</v>
      </c>
      <c r="H415" s="19">
        <f t="shared" ref="H415:J415" ca="1" si="414">(C415/C414) - 1</f>
        <v>3.4235080888769254E-3</v>
      </c>
      <c r="I415" s="19">
        <f t="shared" si="414"/>
        <v>-7.5391683354929517E-3</v>
      </c>
      <c r="J415" s="17">
        <f t="shared" si="414"/>
        <v>-8.8326716523559057E-3</v>
      </c>
    </row>
    <row r="416" spans="2:10" ht="15.75" customHeight="1" x14ac:dyDescent="0.25">
      <c r="B416" s="21">
        <f ca="1">IFERROR(__xludf.DUMMYFUNCTION("""COMPUTED_VALUE"""),45160.6666666666)</f>
        <v>45160.666666666599</v>
      </c>
      <c r="C416" s="22">
        <f ca="1">IFERROR(__xludf.DUMMYFUNCTION("""COMPUTED_VALUE"""),146.38)</f>
        <v>146.38</v>
      </c>
      <c r="D416" s="22">
        <v>82.98</v>
      </c>
      <c r="E416" s="23">
        <v>318.79000000000002</v>
      </c>
      <c r="G416" s="21">
        <f t="shared" ca="1" si="259"/>
        <v>45160.666666666599</v>
      </c>
      <c r="H416" s="19">
        <f t="shared" ref="H416:J416" ca="1" si="415">(C416/C415) - 1</f>
        <v>-2.0738560342520751E-2</v>
      </c>
      <c r="I416" s="19">
        <f t="shared" si="415"/>
        <v>-1.5074183976261035E-2</v>
      </c>
      <c r="J416" s="17">
        <f t="shared" si="415"/>
        <v>-1.0153387567533922E-2</v>
      </c>
    </row>
    <row r="417" spans="2:10" ht="15.75" customHeight="1" x14ac:dyDescent="0.25">
      <c r="B417" s="21">
        <f ca="1">IFERROR(__xludf.DUMMYFUNCTION("""COMPUTED_VALUE"""),45161.6666666666)</f>
        <v>45161.666666666599</v>
      </c>
      <c r="C417" s="22">
        <f ca="1">IFERROR(__xludf.DUMMYFUNCTION("""COMPUTED_VALUE"""),147.37)</f>
        <v>147.37</v>
      </c>
      <c r="D417" s="22">
        <v>83.39</v>
      </c>
      <c r="E417" s="23">
        <v>322.33</v>
      </c>
      <c r="G417" s="21">
        <f t="shared" ca="1" si="259"/>
        <v>45161.666666666599</v>
      </c>
      <c r="H417" s="19">
        <f t="shared" ref="H417:J417" ca="1" si="416">(C417/C416) - 1</f>
        <v>6.7632190189916841E-3</v>
      </c>
      <c r="I417" s="19">
        <f t="shared" si="416"/>
        <v>4.9409496264158914E-3</v>
      </c>
      <c r="J417" s="17">
        <f t="shared" si="416"/>
        <v>1.1104488848458161E-2</v>
      </c>
    </row>
    <row r="418" spans="2:10" ht="15.75" customHeight="1" x14ac:dyDescent="0.25">
      <c r="B418" s="21">
        <f ca="1">IFERROR(__xludf.DUMMYFUNCTION("""COMPUTED_VALUE"""),45162.6666666666)</f>
        <v>45162.666666666599</v>
      </c>
      <c r="C418" s="22">
        <f ca="1">IFERROR(__xludf.DUMMYFUNCTION("""COMPUTED_VALUE"""),147.23)</f>
        <v>147.22999999999999</v>
      </c>
      <c r="D418" s="22">
        <v>83.44</v>
      </c>
      <c r="E418" s="23">
        <v>319.95999999999998</v>
      </c>
      <c r="G418" s="21">
        <f t="shared" ca="1" si="259"/>
        <v>45162.666666666599</v>
      </c>
      <c r="H418" s="19">
        <f t="shared" ref="H418:J418" ca="1" si="417">(C418/C417) - 1</f>
        <v>-9.4998982153771117E-4</v>
      </c>
      <c r="I418" s="19">
        <f t="shared" si="417"/>
        <v>5.9959227725148168E-4</v>
      </c>
      <c r="J418" s="17">
        <f t="shared" si="417"/>
        <v>-7.3527130580460787E-3</v>
      </c>
    </row>
    <row r="419" spans="2:10" ht="15.75" customHeight="1" x14ac:dyDescent="0.25">
      <c r="B419" s="21">
        <f ca="1">IFERROR(__xludf.DUMMYFUNCTION("""COMPUTED_VALUE"""),45163.6666666666)</f>
        <v>45163.666666666599</v>
      </c>
      <c r="C419" s="22">
        <f ca="1">IFERROR(__xludf.DUMMYFUNCTION("""COMPUTED_VALUE"""),147.05)</f>
        <v>147.05000000000001</v>
      </c>
      <c r="D419" s="22">
        <v>83.22</v>
      </c>
      <c r="E419" s="23">
        <v>320.14999999999998</v>
      </c>
      <c r="G419" s="21">
        <f t="shared" ca="1" si="259"/>
        <v>45163.666666666599</v>
      </c>
      <c r="H419" s="19">
        <f t="shared" ref="H419:J419" ca="1" si="418">(C419/C418) - 1</f>
        <v>-1.2225769204644577E-3</v>
      </c>
      <c r="I419" s="19">
        <f t="shared" si="418"/>
        <v>-2.6366251198466362E-3</v>
      </c>
      <c r="J419" s="17">
        <f t="shared" si="418"/>
        <v>5.9382422802856105E-4</v>
      </c>
    </row>
    <row r="420" spans="2:10" ht="15.75" customHeight="1" x14ac:dyDescent="0.25">
      <c r="B420" s="21">
        <f ca="1">IFERROR(__xludf.DUMMYFUNCTION("""COMPUTED_VALUE"""),45166.6666666666)</f>
        <v>45166.666666666599</v>
      </c>
      <c r="C420" s="22">
        <f ca="1">IFERROR(__xludf.DUMMYFUNCTION("""COMPUTED_VALUE"""),147.56)</f>
        <v>147.56</v>
      </c>
      <c r="D420" s="22">
        <v>84.38</v>
      </c>
      <c r="E420" s="23">
        <v>325.97000000000003</v>
      </c>
      <c r="G420" s="21">
        <f t="shared" ca="1" si="259"/>
        <v>45166.666666666599</v>
      </c>
      <c r="H420" s="19">
        <f t="shared" ref="H420:J420" ca="1" si="419">(C420/C419) - 1</f>
        <v>3.4682080924854919E-3</v>
      </c>
      <c r="I420" s="19">
        <f t="shared" si="419"/>
        <v>1.3938956981494721E-2</v>
      </c>
      <c r="J420" s="17">
        <f t="shared" si="419"/>
        <v>1.8178978603779594E-2</v>
      </c>
    </row>
    <row r="421" spans="2:10" ht="15.75" customHeight="1" x14ac:dyDescent="0.25">
      <c r="B421" s="21">
        <f ca="1">IFERROR(__xludf.DUMMYFUNCTION("""COMPUTED_VALUE"""),45167.6666666666)</f>
        <v>45167.666666666599</v>
      </c>
      <c r="C421" s="22">
        <f ca="1">IFERROR(__xludf.DUMMYFUNCTION("""COMPUTED_VALUE"""),148.76)</f>
        <v>148.76</v>
      </c>
      <c r="D421" s="22">
        <v>85.55</v>
      </c>
      <c r="E421" s="23">
        <v>332.55</v>
      </c>
      <c r="G421" s="21">
        <f t="shared" ca="1" si="259"/>
        <v>45167.666666666599</v>
      </c>
      <c r="H421" s="19">
        <f t="shared" ref="H421:J421" ca="1" si="420">(C421/C420) - 1</f>
        <v>8.132285172133269E-3</v>
      </c>
      <c r="I421" s="19">
        <f t="shared" si="420"/>
        <v>1.3865844986963749E-2</v>
      </c>
      <c r="J421" s="17">
        <f t="shared" si="420"/>
        <v>2.0185906678528598E-2</v>
      </c>
    </row>
    <row r="422" spans="2:10" ht="15.75" customHeight="1" x14ac:dyDescent="0.25">
      <c r="B422" s="21">
        <f ca="1">IFERROR(__xludf.DUMMYFUNCTION("""COMPUTED_VALUE"""),45168.6666666666)</f>
        <v>45168.666666666599</v>
      </c>
      <c r="C422" s="22">
        <f ca="1">IFERROR(__xludf.DUMMYFUNCTION("""COMPUTED_VALUE"""),148.16)</f>
        <v>148.16</v>
      </c>
      <c r="D422" s="22">
        <v>85.26</v>
      </c>
      <c r="E422" s="23">
        <v>328.58</v>
      </c>
      <c r="G422" s="21">
        <f t="shared" ca="1" si="259"/>
        <v>45168.666666666599</v>
      </c>
      <c r="H422" s="19">
        <f t="shared" ref="H422:J422" ca="1" si="421">(C422/C421) - 1</f>
        <v>-4.0333422963161336E-3</v>
      </c>
      <c r="I422" s="19">
        <f t="shared" si="421"/>
        <v>-3.3898305084745228E-3</v>
      </c>
      <c r="J422" s="17">
        <f t="shared" si="421"/>
        <v>-1.1938054427905631E-2</v>
      </c>
    </row>
    <row r="423" spans="2:10" ht="15.75" customHeight="1" x14ac:dyDescent="0.25">
      <c r="B423" s="21">
        <f ca="1">IFERROR(__xludf.DUMMYFUNCTION("""COMPUTED_VALUE"""),45169.6666666666)</f>
        <v>45169.666666666599</v>
      </c>
      <c r="C423" s="22">
        <f ca="1">IFERROR(__xludf.DUMMYFUNCTION("""COMPUTED_VALUE"""),146.33)</f>
        <v>146.33000000000001</v>
      </c>
      <c r="D423" s="22">
        <v>85.15</v>
      </c>
      <c r="E423" s="23">
        <v>327.71</v>
      </c>
      <c r="G423" s="21">
        <f t="shared" ca="1" si="259"/>
        <v>45169.666666666599</v>
      </c>
      <c r="H423" s="19">
        <f t="shared" ref="H423:J423" ca="1" si="422">(C423/C422) - 1</f>
        <v>-1.2351511879049593E-2</v>
      </c>
      <c r="I423" s="19">
        <f t="shared" si="422"/>
        <v>-1.2901712409101318E-3</v>
      </c>
      <c r="J423" s="17">
        <f t="shared" si="422"/>
        <v>-2.647757015034391E-3</v>
      </c>
    </row>
    <row r="424" spans="2:10" ht="15.75" customHeight="1" x14ac:dyDescent="0.25">
      <c r="B424" s="21">
        <f ca="1">IFERROR(__xludf.DUMMYFUNCTION("""COMPUTED_VALUE"""),45170.6666666666)</f>
        <v>45170.666666666599</v>
      </c>
      <c r="C424" s="22">
        <f ca="1">IFERROR(__xludf.DUMMYFUNCTION("""COMPUTED_VALUE"""),146.82)</f>
        <v>146.82</v>
      </c>
      <c r="D424" s="22">
        <v>85.75</v>
      </c>
      <c r="E424" s="23">
        <v>327.39999999999998</v>
      </c>
      <c r="G424" s="21">
        <f t="shared" ca="1" si="259"/>
        <v>45170.666666666599</v>
      </c>
      <c r="H424" s="19">
        <f t="shared" ref="H424:J424" ca="1" si="423">(C424/C423) - 1</f>
        <v>3.3485956399916805E-3</v>
      </c>
      <c r="I424" s="19">
        <f t="shared" si="423"/>
        <v>7.0463887257778968E-3</v>
      </c>
      <c r="J424" s="17">
        <f t="shared" si="423"/>
        <v>-9.4595831680455156E-4</v>
      </c>
    </row>
    <row r="425" spans="2:10" ht="15.75" customHeight="1" x14ac:dyDescent="0.25">
      <c r="B425" s="21">
        <f ca="1">IFERROR(__xludf.DUMMYFUNCTION("""COMPUTED_VALUE"""),45174.6666666666)</f>
        <v>45174.666666666599</v>
      </c>
      <c r="C425" s="22">
        <f ca="1">IFERROR(__xludf.DUMMYFUNCTION("""COMPUTED_VALUE"""),145.2)</f>
        <v>145.19999999999999</v>
      </c>
      <c r="D425" s="22">
        <v>84.84</v>
      </c>
      <c r="E425" s="23">
        <v>323.75</v>
      </c>
      <c r="G425" s="21">
        <f t="shared" ca="1" si="259"/>
        <v>45174.666666666599</v>
      </c>
      <c r="H425" s="19">
        <f t="shared" ref="H425:J425" ca="1" si="424">(C425/C424) - 1</f>
        <v>-1.1033919084593391E-2</v>
      </c>
      <c r="I425" s="19">
        <f t="shared" si="424"/>
        <v>-1.0612244897959089E-2</v>
      </c>
      <c r="J425" s="17">
        <f t="shared" si="424"/>
        <v>-1.1148442272449488E-2</v>
      </c>
    </row>
    <row r="426" spans="2:10" ht="15.75" customHeight="1" x14ac:dyDescent="0.25">
      <c r="B426" s="21">
        <f ca="1">IFERROR(__xludf.DUMMYFUNCTION("""COMPUTED_VALUE"""),45175.6666666666)</f>
        <v>45175.666666666599</v>
      </c>
      <c r="C426" s="22">
        <f ca="1">IFERROR(__xludf.DUMMYFUNCTION("""COMPUTED_VALUE"""),144.96)</f>
        <v>144.96</v>
      </c>
      <c r="D426" s="22">
        <v>84.16</v>
      </c>
      <c r="E426" s="23">
        <v>321.13</v>
      </c>
      <c r="G426" s="21">
        <f t="shared" ca="1" si="259"/>
        <v>45175.666666666599</v>
      </c>
      <c r="H426" s="19">
        <f t="shared" ref="H426:J426" ca="1" si="425">(C426/C425) - 1</f>
        <v>-1.6528925619833101E-3</v>
      </c>
      <c r="I426" s="19">
        <f t="shared" si="425"/>
        <v>-8.0150872230081438E-3</v>
      </c>
      <c r="J426" s="17">
        <f t="shared" si="425"/>
        <v>-8.0926640926640703E-3</v>
      </c>
    </row>
    <row r="427" spans="2:10" ht="15.75" customHeight="1" x14ac:dyDescent="0.25">
      <c r="B427" s="21">
        <f ca="1">IFERROR(__xludf.DUMMYFUNCTION("""COMPUTED_VALUE"""),45176.6666666666)</f>
        <v>45176.666666666599</v>
      </c>
      <c r="C427" s="22">
        <f ca="1">IFERROR(__xludf.DUMMYFUNCTION("""COMPUTED_VALUE"""),143.72)</f>
        <v>143.72</v>
      </c>
      <c r="D427" s="22">
        <v>83.84</v>
      </c>
      <c r="E427" s="23">
        <v>321.95999999999998</v>
      </c>
      <c r="G427" s="21">
        <f t="shared" ca="1" si="259"/>
        <v>45176.666666666599</v>
      </c>
      <c r="H427" s="19">
        <f t="shared" ref="H427:J427" ca="1" si="426">(C427/C426) - 1</f>
        <v>-8.554083885209729E-3</v>
      </c>
      <c r="I427" s="19">
        <f t="shared" si="426"/>
        <v>-3.8022813688212143E-3</v>
      </c>
      <c r="J427" s="17">
        <f t="shared" si="426"/>
        <v>2.5846230498551837E-3</v>
      </c>
    </row>
    <row r="428" spans="2:10" ht="15.75" customHeight="1" x14ac:dyDescent="0.25">
      <c r="B428" s="21">
        <f ca="1">IFERROR(__xludf.DUMMYFUNCTION("""COMPUTED_VALUE"""),45177.6666666666)</f>
        <v>45177.666666666599</v>
      </c>
      <c r="C428" s="22">
        <f ca="1">IFERROR(__xludf.DUMMYFUNCTION("""COMPUTED_VALUE"""),143.83)</f>
        <v>143.83000000000001</v>
      </c>
      <c r="D428" s="22">
        <v>84.92</v>
      </c>
      <c r="E428" s="23">
        <v>325.52</v>
      </c>
      <c r="G428" s="21">
        <f t="shared" ca="1" si="259"/>
        <v>45177.666666666599</v>
      </c>
      <c r="H428" s="19">
        <f t="shared" ref="H428:J428" ca="1" si="427">(C428/C427) - 1</f>
        <v>7.6537712218205378E-4</v>
      </c>
      <c r="I428" s="19">
        <f t="shared" si="427"/>
        <v>1.288167938931295E-2</v>
      </c>
      <c r="J428" s="17">
        <f t="shared" si="427"/>
        <v>1.1057274195552358E-2</v>
      </c>
    </row>
    <row r="429" spans="2:10" ht="15.75" customHeight="1" x14ac:dyDescent="0.25">
      <c r="B429" s="21">
        <f ca="1">IFERROR(__xludf.DUMMYFUNCTION("""COMPUTED_VALUE"""),45180.6666666666)</f>
        <v>45180.666666666599</v>
      </c>
      <c r="C429" s="22">
        <f ca="1">IFERROR(__xludf.DUMMYFUNCTION("""COMPUTED_VALUE"""),144.46)</f>
        <v>144.46</v>
      </c>
      <c r="D429" s="22">
        <v>83.51</v>
      </c>
      <c r="E429" s="23">
        <v>324.64999999999998</v>
      </c>
      <c r="G429" s="21">
        <f t="shared" ca="1" si="259"/>
        <v>45180.666666666599</v>
      </c>
      <c r="H429" s="19">
        <f t="shared" ref="H429:J429" ca="1" si="428">(C429/C428) - 1</f>
        <v>4.3801710352500134E-3</v>
      </c>
      <c r="I429" s="19">
        <f t="shared" si="428"/>
        <v>-1.6603862458784646E-2</v>
      </c>
      <c r="J429" s="17">
        <f t="shared" si="428"/>
        <v>-2.6726468419758787E-3</v>
      </c>
    </row>
    <row r="430" spans="2:10" ht="15.75" customHeight="1" x14ac:dyDescent="0.25">
      <c r="B430" s="21">
        <f ca="1">IFERROR(__xludf.DUMMYFUNCTION("""COMPUTED_VALUE"""),45181.6666666666)</f>
        <v>45181.666666666599</v>
      </c>
      <c r="C430" s="22">
        <f ca="1">IFERROR(__xludf.DUMMYFUNCTION("""COMPUTED_VALUE"""),146.34)</f>
        <v>146.34</v>
      </c>
      <c r="D430" s="22">
        <v>85.55</v>
      </c>
      <c r="E430" s="23">
        <v>330.9</v>
      </c>
      <c r="G430" s="21">
        <f t="shared" ca="1" si="259"/>
        <v>45181.666666666599</v>
      </c>
      <c r="H430" s="19">
        <f t="shared" ref="H430:J430" ca="1" si="429">(C430/C429) - 1</f>
        <v>1.3013983109511296E-2</v>
      </c>
      <c r="I430" s="19">
        <f t="shared" si="429"/>
        <v>2.4428212190156673E-2</v>
      </c>
      <c r="J430" s="17">
        <f t="shared" si="429"/>
        <v>1.9251501617126188E-2</v>
      </c>
    </row>
    <row r="431" spans="2:10" ht="15.75" customHeight="1" x14ac:dyDescent="0.25">
      <c r="B431" s="21">
        <f ca="1">IFERROR(__xludf.DUMMYFUNCTION("""COMPUTED_VALUE"""),45182.6666666666)</f>
        <v>45182.666666666599</v>
      </c>
      <c r="C431" s="22">
        <f ca="1">IFERROR(__xludf.DUMMYFUNCTION("""COMPUTED_VALUE"""),146.41)</f>
        <v>146.41</v>
      </c>
      <c r="D431" s="22">
        <v>87.25</v>
      </c>
      <c r="E431" s="23">
        <v>334.98</v>
      </c>
      <c r="G431" s="21">
        <f t="shared" ca="1" si="259"/>
        <v>45182.666666666599</v>
      </c>
      <c r="H431" s="19">
        <f t="shared" ref="H431:J431" ca="1" si="430">(C431/C430) - 1</f>
        <v>4.7833811671438298E-4</v>
      </c>
      <c r="I431" s="19">
        <f t="shared" si="430"/>
        <v>1.9871420222092429E-2</v>
      </c>
      <c r="J431" s="17">
        <f t="shared" si="430"/>
        <v>1.2330009066183312E-2</v>
      </c>
    </row>
    <row r="432" spans="2:10" ht="15.75" customHeight="1" x14ac:dyDescent="0.25">
      <c r="B432" s="21">
        <f ca="1">IFERROR(__xludf.DUMMYFUNCTION("""COMPUTED_VALUE"""),45183.6666666666)</f>
        <v>45183.666666666599</v>
      </c>
      <c r="C432" s="22">
        <f ca="1">IFERROR(__xludf.DUMMYFUNCTION("""COMPUTED_VALUE"""),149.25)</f>
        <v>149.25</v>
      </c>
      <c r="D432" s="22">
        <v>89.07</v>
      </c>
      <c r="E432" s="23">
        <v>344.57</v>
      </c>
      <c r="G432" s="21">
        <f t="shared" ca="1" si="259"/>
        <v>45183.666666666599</v>
      </c>
      <c r="H432" s="19">
        <f t="shared" ref="H432:J432" ca="1" si="431">(C432/C431) - 1</f>
        <v>1.9397582132367974E-2</v>
      </c>
      <c r="I432" s="19">
        <f t="shared" si="431"/>
        <v>2.0859598853868011E-2</v>
      </c>
      <c r="J432" s="17">
        <f t="shared" si="431"/>
        <v>2.8628574840288801E-2</v>
      </c>
    </row>
    <row r="433" spans="2:10" ht="15.75" customHeight="1" x14ac:dyDescent="0.25">
      <c r="B433" s="21">
        <f ca="1">IFERROR(__xludf.DUMMYFUNCTION("""COMPUTED_VALUE"""),45184.6666666666)</f>
        <v>45184.666666666599</v>
      </c>
      <c r="C433" s="22">
        <f ca="1">IFERROR(__xludf.DUMMYFUNCTION("""COMPUTED_VALUE"""),148.81)</f>
        <v>148.81</v>
      </c>
      <c r="D433" s="22">
        <v>88.41</v>
      </c>
      <c r="E433" s="23">
        <v>342.54</v>
      </c>
      <c r="G433" s="21">
        <f t="shared" ca="1" si="259"/>
        <v>45184.666666666599</v>
      </c>
      <c r="H433" s="19">
        <f t="shared" ref="H433:J433" ca="1" si="432">(C433/C432) - 1</f>
        <v>-2.9480737018425796E-3</v>
      </c>
      <c r="I433" s="19">
        <f t="shared" si="432"/>
        <v>-7.4099023240147277E-3</v>
      </c>
      <c r="J433" s="17">
        <f t="shared" si="432"/>
        <v>-5.8914008764546777E-3</v>
      </c>
    </row>
    <row r="434" spans="2:10" ht="15.75" customHeight="1" x14ac:dyDescent="0.25">
      <c r="B434" s="21">
        <f ca="1">IFERROR(__xludf.DUMMYFUNCTION("""COMPUTED_VALUE"""),45187.6666666666)</f>
        <v>45187.666666666599</v>
      </c>
      <c r="C434" s="22">
        <f ca="1">IFERROR(__xludf.DUMMYFUNCTION("""COMPUTED_VALUE"""),149.12)</f>
        <v>149.12</v>
      </c>
      <c r="D434" s="22">
        <v>88.71</v>
      </c>
      <c r="E434" s="23">
        <v>343.32</v>
      </c>
      <c r="G434" s="21">
        <f t="shared" ca="1" si="259"/>
        <v>45187.666666666599</v>
      </c>
      <c r="H434" s="19">
        <f t="shared" ref="H434:J434" ca="1" si="433">(C434/C433) - 1</f>
        <v>2.0831933337812636E-3</v>
      </c>
      <c r="I434" s="19">
        <f t="shared" si="433"/>
        <v>3.3932813030199682E-3</v>
      </c>
      <c r="J434" s="17">
        <f t="shared" si="433"/>
        <v>2.2771063233490985E-3</v>
      </c>
    </row>
    <row r="435" spans="2:10" ht="15.75" customHeight="1" x14ac:dyDescent="0.25">
      <c r="B435" s="21">
        <f ca="1">IFERROR(__xludf.DUMMYFUNCTION("""COMPUTED_VALUE"""),45188.6666666666)</f>
        <v>45188.666666666599</v>
      </c>
      <c r="C435" s="22">
        <f ca="1">IFERROR(__xludf.DUMMYFUNCTION("""COMPUTED_VALUE"""),148.93)</f>
        <v>148.93</v>
      </c>
      <c r="D435" s="22">
        <v>88.51</v>
      </c>
      <c r="E435" s="23">
        <v>341.89</v>
      </c>
      <c r="G435" s="21">
        <f t="shared" ca="1" si="259"/>
        <v>45188.666666666599</v>
      </c>
      <c r="H435" s="19">
        <f t="shared" ref="H435:J435" ca="1" si="434">(C435/C434) - 1</f>
        <v>-1.2741416309012266E-3</v>
      </c>
      <c r="I435" s="19">
        <f t="shared" si="434"/>
        <v>-2.2545372562280397E-3</v>
      </c>
      <c r="J435" s="17">
        <f t="shared" si="434"/>
        <v>-4.1652102994291784E-3</v>
      </c>
    </row>
    <row r="436" spans="2:10" ht="15.75" customHeight="1" x14ac:dyDescent="0.25">
      <c r="B436" s="21">
        <f ca="1">IFERROR(__xludf.DUMMYFUNCTION("""COMPUTED_VALUE"""),45189.6666666666)</f>
        <v>45189.666666666599</v>
      </c>
      <c r="C436" s="22">
        <f ca="1">IFERROR(__xludf.DUMMYFUNCTION("""COMPUTED_VALUE"""),148.3)</f>
        <v>148.30000000000001</v>
      </c>
      <c r="D436" s="22">
        <v>87.14</v>
      </c>
      <c r="E436" s="23">
        <v>336.7</v>
      </c>
      <c r="G436" s="21">
        <f t="shared" ca="1" si="259"/>
        <v>45189.666666666599</v>
      </c>
      <c r="H436" s="19">
        <f t="shared" ref="H436:J436" ca="1" si="435">(C436/C435) - 1</f>
        <v>-4.230175250117485E-3</v>
      </c>
      <c r="I436" s="19">
        <f t="shared" si="435"/>
        <v>-1.5478477008247671E-2</v>
      </c>
      <c r="J436" s="17">
        <f t="shared" si="435"/>
        <v>-1.5180321155927379E-2</v>
      </c>
    </row>
    <row r="437" spans="2:10" ht="15.75" customHeight="1" x14ac:dyDescent="0.25">
      <c r="B437" s="21">
        <f ca="1">IFERROR(__xludf.DUMMYFUNCTION("""COMPUTED_VALUE"""),45190.6666666666)</f>
        <v>45190.666666666599</v>
      </c>
      <c r="C437" s="22">
        <f ca="1">IFERROR(__xludf.DUMMYFUNCTION("""COMPUTED_VALUE"""),147.14)</f>
        <v>147.13999999999999</v>
      </c>
      <c r="D437" s="22">
        <v>84.88</v>
      </c>
      <c r="E437" s="23">
        <v>330.24</v>
      </c>
      <c r="G437" s="21">
        <f t="shared" ca="1" si="259"/>
        <v>45190.666666666599</v>
      </c>
      <c r="H437" s="19">
        <f t="shared" ref="H437:J437" ca="1" si="436">(C437/C436) - 1</f>
        <v>-7.8219824679705008E-3</v>
      </c>
      <c r="I437" s="19">
        <f t="shared" si="436"/>
        <v>-2.5935276566444898E-2</v>
      </c>
      <c r="J437" s="17">
        <f t="shared" si="436"/>
        <v>-1.91862191862191E-2</v>
      </c>
    </row>
    <row r="438" spans="2:10" ht="15.75" customHeight="1" x14ac:dyDescent="0.25">
      <c r="B438" s="21">
        <f ca="1">IFERROR(__xludf.DUMMYFUNCTION("""COMPUTED_VALUE"""),45191.6666666666)</f>
        <v>45191.666666666599</v>
      </c>
      <c r="C438" s="22">
        <f ca="1">IFERROR(__xludf.DUMMYFUNCTION("""COMPUTED_VALUE"""),145.73)</f>
        <v>145.72999999999999</v>
      </c>
      <c r="D438" s="22">
        <v>83.29</v>
      </c>
      <c r="E438" s="23">
        <v>327.89</v>
      </c>
      <c r="G438" s="21">
        <f t="shared" ca="1" si="259"/>
        <v>45191.666666666599</v>
      </c>
      <c r="H438" s="19">
        <f t="shared" ref="H438:J438" ca="1" si="437">(C438/C437) - 1</f>
        <v>-9.5827103438901329E-3</v>
      </c>
      <c r="I438" s="19">
        <f t="shared" si="437"/>
        <v>-1.873232799245983E-2</v>
      </c>
      <c r="J438" s="17">
        <f t="shared" si="437"/>
        <v>-7.1160368217054737E-3</v>
      </c>
    </row>
    <row r="439" spans="2:10" ht="15.75" customHeight="1" x14ac:dyDescent="0.25">
      <c r="B439" s="21">
        <f ca="1">IFERROR(__xludf.DUMMYFUNCTION("""COMPUTED_VALUE"""),45194.6666666666)</f>
        <v>45194.666666666599</v>
      </c>
      <c r="C439" s="22">
        <f ca="1">IFERROR(__xludf.DUMMYFUNCTION("""COMPUTED_VALUE"""),146.45)</f>
        <v>146.44999999999999</v>
      </c>
      <c r="D439" s="22">
        <v>83.03</v>
      </c>
      <c r="E439" s="23">
        <v>328.84</v>
      </c>
      <c r="G439" s="21">
        <f t="shared" ca="1" si="259"/>
        <v>45194.666666666599</v>
      </c>
      <c r="H439" s="19">
        <f t="shared" ref="H439:J439" ca="1" si="438">(C439/C438) - 1</f>
        <v>4.9406436560763822E-3</v>
      </c>
      <c r="I439" s="19">
        <f t="shared" si="438"/>
        <v>-3.1216232440869351E-3</v>
      </c>
      <c r="J439" s="17">
        <f t="shared" si="438"/>
        <v>2.8973131233034355E-3</v>
      </c>
    </row>
    <row r="440" spans="2:10" ht="15.75" customHeight="1" x14ac:dyDescent="0.25">
      <c r="B440" s="21">
        <f ca="1">IFERROR(__xludf.DUMMYFUNCTION("""COMPUTED_VALUE"""),45195.6666666666)</f>
        <v>45195.666666666599</v>
      </c>
      <c r="C440" s="22">
        <f ca="1">IFERROR(__xludf.DUMMYFUNCTION("""COMPUTED_VALUE"""),144.93)</f>
        <v>144.93</v>
      </c>
      <c r="D440" s="22">
        <v>82.17</v>
      </c>
      <c r="E440" s="23">
        <v>323.82</v>
      </c>
      <c r="G440" s="21">
        <f t="shared" ca="1" si="259"/>
        <v>45195.666666666599</v>
      </c>
      <c r="H440" s="19">
        <f t="shared" ref="H440:J440" ca="1" si="439">(C440/C439) - 1</f>
        <v>-1.0378968931375798E-2</v>
      </c>
      <c r="I440" s="19">
        <f t="shared" si="439"/>
        <v>-1.0357702035408867E-2</v>
      </c>
      <c r="J440" s="17">
        <f t="shared" si="439"/>
        <v>-1.5265782751490042E-2</v>
      </c>
    </row>
    <row r="441" spans="2:10" ht="15.75" customHeight="1" x14ac:dyDescent="0.25">
      <c r="B441" s="21">
        <f ca="1">IFERROR(__xludf.DUMMYFUNCTION("""COMPUTED_VALUE"""),45196.6666666666)</f>
        <v>45196.666666666599</v>
      </c>
      <c r="C441" s="22">
        <f ca="1">IFERROR(__xludf.DUMMYFUNCTION("""COMPUTED_VALUE"""),145.78)</f>
        <v>145.78</v>
      </c>
      <c r="D441" s="22">
        <v>81.650000000000006</v>
      </c>
      <c r="E441" s="23">
        <v>321.95</v>
      </c>
      <c r="G441" s="21">
        <f t="shared" ca="1" si="259"/>
        <v>45196.666666666599</v>
      </c>
      <c r="H441" s="19">
        <f t="shared" ref="H441:J441" ca="1" si="440">(C441/C440) - 1</f>
        <v>5.8649002966948416E-3</v>
      </c>
      <c r="I441" s="19">
        <f t="shared" si="440"/>
        <v>-6.328343677741266E-3</v>
      </c>
      <c r="J441" s="17">
        <f t="shared" si="440"/>
        <v>-5.7748131678092562E-3</v>
      </c>
    </row>
    <row r="442" spans="2:10" ht="15.75" customHeight="1" x14ac:dyDescent="0.25">
      <c r="B442" s="21">
        <f ca="1">IFERROR(__xludf.DUMMYFUNCTION("""COMPUTED_VALUE"""),45197.6666666666)</f>
        <v>45197.666666666599</v>
      </c>
      <c r="C442" s="22">
        <f ca="1">IFERROR(__xludf.DUMMYFUNCTION("""COMPUTED_VALUE"""),147.59)</f>
        <v>147.59</v>
      </c>
      <c r="D442" s="22">
        <v>82.19</v>
      </c>
      <c r="E442" s="23">
        <v>325.2</v>
      </c>
      <c r="G442" s="21">
        <f t="shared" ca="1" si="259"/>
        <v>45197.666666666599</v>
      </c>
      <c r="H442" s="19">
        <f t="shared" ref="H442:J442" ca="1" si="441">(C442/C441) - 1</f>
        <v>1.2415969268761096E-2</v>
      </c>
      <c r="I442" s="19">
        <f t="shared" si="441"/>
        <v>6.6135946111449684E-3</v>
      </c>
      <c r="J442" s="17">
        <f t="shared" si="441"/>
        <v>1.0094735207330396E-2</v>
      </c>
    </row>
    <row r="443" spans="2:10" ht="15.75" customHeight="1" x14ac:dyDescent="0.25">
      <c r="B443" s="21">
        <f ca="1">IFERROR(__xludf.DUMMYFUNCTION("""COMPUTED_VALUE"""),45198.6666666666)</f>
        <v>45198.666666666599</v>
      </c>
      <c r="C443" s="22">
        <f ca="1">IFERROR(__xludf.DUMMYFUNCTION("""COMPUTED_VALUE"""),145.02)</f>
        <v>145.02000000000001</v>
      </c>
      <c r="D443" s="22">
        <v>81.67</v>
      </c>
      <c r="E443" s="23">
        <v>323.57</v>
      </c>
      <c r="G443" s="21">
        <f t="shared" ca="1" si="259"/>
        <v>45198.666666666599</v>
      </c>
      <c r="H443" s="19">
        <f t="shared" ref="H443:J443" ca="1" si="442">(C443/C442) - 1</f>
        <v>-1.7413103868825774E-2</v>
      </c>
      <c r="I443" s="19">
        <f t="shared" si="442"/>
        <v>-6.3268037474144556E-3</v>
      </c>
      <c r="J443" s="17">
        <f t="shared" si="442"/>
        <v>-5.0123001230012454E-3</v>
      </c>
    </row>
    <row r="444" spans="2:10" ht="15.75" customHeight="1" x14ac:dyDescent="0.25">
      <c r="B444" s="21">
        <f ca="1">IFERROR(__xludf.DUMMYFUNCTION("""COMPUTED_VALUE"""),45201.6666666666)</f>
        <v>45201.666666666599</v>
      </c>
      <c r="C444" s="22">
        <f ca="1">IFERROR(__xludf.DUMMYFUNCTION("""COMPUTED_VALUE"""),143.77)</f>
        <v>143.77000000000001</v>
      </c>
      <c r="D444" s="22">
        <v>80.41</v>
      </c>
      <c r="E444" s="23">
        <v>318.5</v>
      </c>
      <c r="G444" s="21">
        <f t="shared" ca="1" si="259"/>
        <v>45201.666666666599</v>
      </c>
      <c r="H444" s="19">
        <f t="shared" ref="H444:J444" ca="1" si="443">(C444/C443) - 1</f>
        <v>-8.6195007585160299E-3</v>
      </c>
      <c r="I444" s="19">
        <f t="shared" si="443"/>
        <v>-1.5427941716664728E-2</v>
      </c>
      <c r="J444" s="17">
        <f t="shared" si="443"/>
        <v>-1.5668943350743203E-2</v>
      </c>
    </row>
    <row r="445" spans="2:10" ht="15.75" customHeight="1" x14ac:dyDescent="0.25">
      <c r="B445" s="21">
        <f ca="1">IFERROR(__xludf.DUMMYFUNCTION("""COMPUTED_VALUE"""),45202.6666666666)</f>
        <v>45202.666666666599</v>
      </c>
      <c r="C445" s="22">
        <f ca="1">IFERROR(__xludf.DUMMYFUNCTION("""COMPUTED_VALUE"""),142.71)</f>
        <v>142.71</v>
      </c>
      <c r="D445" s="22">
        <v>78.02</v>
      </c>
      <c r="E445" s="23">
        <v>306.12</v>
      </c>
      <c r="G445" s="21">
        <f t="shared" ca="1" si="259"/>
        <v>45202.666666666599</v>
      </c>
      <c r="H445" s="19">
        <f t="shared" ref="H445:J445" ca="1" si="444">(C445/C444) - 1</f>
        <v>-7.3728872504694731E-3</v>
      </c>
      <c r="I445" s="19">
        <f t="shared" si="444"/>
        <v>-2.9722671309538651E-2</v>
      </c>
      <c r="J445" s="17">
        <f t="shared" si="444"/>
        <v>-3.8869701726844563E-2</v>
      </c>
    </row>
    <row r="446" spans="2:10" ht="15.75" customHeight="1" x14ac:dyDescent="0.25">
      <c r="B446" s="21">
        <f ca="1">IFERROR(__xludf.DUMMYFUNCTION("""COMPUTED_VALUE"""),45203.6666666666)</f>
        <v>45203.666666666599</v>
      </c>
      <c r="C446" s="22">
        <f ca="1">IFERROR(__xludf.DUMMYFUNCTION("""COMPUTED_VALUE"""),143.35)</f>
        <v>143.35</v>
      </c>
      <c r="D446" s="22">
        <v>79.09</v>
      </c>
      <c r="E446" s="23">
        <v>308.60000000000002</v>
      </c>
      <c r="G446" s="21">
        <f t="shared" ca="1" si="259"/>
        <v>45203.666666666599</v>
      </c>
      <c r="H446" s="19">
        <f t="shared" ref="H446:J446" ca="1" si="445">(C446/C445) - 1</f>
        <v>4.4846191577323502E-3</v>
      </c>
      <c r="I446" s="19">
        <f t="shared" si="445"/>
        <v>1.3714432196872739E-2</v>
      </c>
      <c r="J446" s="17">
        <f t="shared" si="445"/>
        <v>8.1013981445186012E-3</v>
      </c>
    </row>
    <row r="447" spans="2:10" ht="15.75" customHeight="1" x14ac:dyDescent="0.25">
      <c r="B447" s="21">
        <f ca="1">IFERROR(__xludf.DUMMYFUNCTION("""COMPUTED_VALUE"""),45204.6666666666)</f>
        <v>45204.666666666599</v>
      </c>
      <c r="C447" s="22">
        <f ca="1">IFERROR(__xludf.DUMMYFUNCTION("""COMPUTED_VALUE"""),142.9)</f>
        <v>142.9</v>
      </c>
      <c r="D447" s="22">
        <v>79.150000000000006</v>
      </c>
      <c r="E447" s="23">
        <v>310.5</v>
      </c>
      <c r="G447" s="21">
        <f t="shared" ca="1" si="259"/>
        <v>45204.666666666599</v>
      </c>
      <c r="H447" s="19">
        <f t="shared" ref="H447:J447" ca="1" si="446">(C447/C446) - 1</f>
        <v>-3.1391698639692267E-3</v>
      </c>
      <c r="I447" s="19">
        <f t="shared" si="446"/>
        <v>7.5862940953341784E-4</v>
      </c>
      <c r="J447" s="17">
        <f t="shared" si="446"/>
        <v>6.1568373298768186E-3</v>
      </c>
    </row>
    <row r="448" spans="2:10" ht="15.75" customHeight="1" x14ac:dyDescent="0.25">
      <c r="B448" s="21">
        <f ca="1">IFERROR(__xludf.DUMMYFUNCTION("""COMPUTED_VALUE"""),45205.6666666666)</f>
        <v>45205.666666666599</v>
      </c>
      <c r="C448" s="22">
        <f ca="1">IFERROR(__xludf.DUMMYFUNCTION("""COMPUTED_VALUE"""),145.1)</f>
        <v>145.1</v>
      </c>
      <c r="D448" s="22">
        <v>80.33</v>
      </c>
      <c r="E448" s="23">
        <v>312.48</v>
      </c>
      <c r="G448" s="21">
        <f t="shared" ca="1" si="259"/>
        <v>45205.666666666599</v>
      </c>
      <c r="H448" s="19">
        <f t="shared" ref="H448:J448" ca="1" si="447">(C448/C447) - 1</f>
        <v>1.5395381385584272E-2</v>
      </c>
      <c r="I448" s="19">
        <f t="shared" si="447"/>
        <v>1.4908401768793267E-2</v>
      </c>
      <c r="J448" s="17">
        <f t="shared" si="447"/>
        <v>6.3768115942028913E-3</v>
      </c>
    </row>
    <row r="449" spans="2:10" ht="15.75" customHeight="1" x14ac:dyDescent="0.25">
      <c r="B449" s="21">
        <f ca="1">IFERROR(__xludf.DUMMYFUNCTION("""COMPUTED_VALUE"""),45208.6666666666)</f>
        <v>45208.666666666599</v>
      </c>
      <c r="C449" s="22">
        <f ca="1">IFERROR(__xludf.DUMMYFUNCTION("""COMPUTED_VALUE"""),144.77)</f>
        <v>144.77000000000001</v>
      </c>
      <c r="D449" s="22">
        <v>79.91</v>
      </c>
      <c r="E449" s="23">
        <v>312.61</v>
      </c>
      <c r="G449" s="21">
        <f t="shared" ca="1" si="259"/>
        <v>45208.666666666599</v>
      </c>
      <c r="H449" s="19">
        <f t="shared" ref="H449:J449" ca="1" si="448">(C449/C448) - 1</f>
        <v>-2.2742935906270301E-3</v>
      </c>
      <c r="I449" s="19">
        <f t="shared" si="448"/>
        <v>-5.2284327150504684E-3</v>
      </c>
      <c r="J449" s="17">
        <f t="shared" si="448"/>
        <v>4.1602662570405791E-4</v>
      </c>
    </row>
    <row r="450" spans="2:10" ht="15.75" customHeight="1" x14ac:dyDescent="0.25">
      <c r="B450" s="21">
        <f ca="1">IFERROR(__xludf.DUMMYFUNCTION("""COMPUTED_VALUE"""),45209.6666666666)</f>
        <v>45209.666666666599</v>
      </c>
      <c r="C450" s="22">
        <f ca="1">IFERROR(__xludf.DUMMYFUNCTION("""COMPUTED_VALUE"""),145.65)</f>
        <v>145.65</v>
      </c>
      <c r="D450" s="22">
        <v>80.13</v>
      </c>
      <c r="E450" s="23">
        <v>314.77</v>
      </c>
      <c r="G450" s="21">
        <f t="shared" ca="1" si="259"/>
        <v>45209.666666666599</v>
      </c>
      <c r="H450" s="19">
        <f t="shared" ref="H450:J450" ca="1" si="449">(C450/C449) - 1</f>
        <v>6.0786074462941819E-3</v>
      </c>
      <c r="I450" s="19">
        <f t="shared" si="449"/>
        <v>2.7530972343887683E-3</v>
      </c>
      <c r="J450" s="17">
        <f t="shared" si="449"/>
        <v>6.9095678321229315E-3</v>
      </c>
    </row>
    <row r="451" spans="2:10" ht="15.75" customHeight="1" x14ac:dyDescent="0.25">
      <c r="B451" s="21">
        <f ca="1">IFERROR(__xludf.DUMMYFUNCTION("""COMPUTED_VALUE"""),45210.6666666666)</f>
        <v>45210.666666666599</v>
      </c>
      <c r="C451" s="22">
        <f ca="1">IFERROR(__xludf.DUMMYFUNCTION("""COMPUTED_VALUE"""),146.15)</f>
        <v>146.15</v>
      </c>
      <c r="D451" s="22">
        <v>78.900000000000006</v>
      </c>
      <c r="E451" s="23">
        <v>313.02</v>
      </c>
      <c r="G451" s="21">
        <f t="shared" ca="1" si="259"/>
        <v>45210.666666666599</v>
      </c>
      <c r="H451" s="19">
        <f t="shared" ref="H451:J451" ca="1" si="450">(C451/C450) - 1</f>
        <v>3.43288705801581E-3</v>
      </c>
      <c r="I451" s="19">
        <f t="shared" si="450"/>
        <v>-1.5350056158741965E-2</v>
      </c>
      <c r="J451" s="17">
        <f t="shared" si="450"/>
        <v>-5.5596149569526743E-3</v>
      </c>
    </row>
    <row r="452" spans="2:10" ht="15.75" customHeight="1" x14ac:dyDescent="0.25">
      <c r="B452" s="21">
        <f ca="1">IFERROR(__xludf.DUMMYFUNCTION("""COMPUTED_VALUE"""),45211.6666666666)</f>
        <v>45211.666666666599</v>
      </c>
      <c r="C452" s="22">
        <f ca="1">IFERROR(__xludf.DUMMYFUNCTION("""COMPUTED_VALUE"""),145.81)</f>
        <v>145.81</v>
      </c>
      <c r="D452" s="22">
        <v>77.81</v>
      </c>
      <c r="E452" s="23">
        <v>309.85000000000002</v>
      </c>
      <c r="G452" s="21">
        <f t="shared" ca="1" si="259"/>
        <v>45211.666666666599</v>
      </c>
      <c r="H452" s="19">
        <f t="shared" ref="H452:J452" ca="1" si="451">(C452/C451) - 1</f>
        <v>-2.3263770099213321E-3</v>
      </c>
      <c r="I452" s="19">
        <f t="shared" si="451"/>
        <v>-1.3814955640050752E-2</v>
      </c>
      <c r="J452" s="17">
        <f t="shared" si="451"/>
        <v>-1.0127148425020605E-2</v>
      </c>
    </row>
    <row r="453" spans="2:10" ht="15.75" customHeight="1" x14ac:dyDescent="0.25">
      <c r="B453" s="21">
        <f ca="1">IFERROR(__xludf.DUMMYFUNCTION("""COMPUTED_VALUE"""),45212.6666666666)</f>
        <v>45212.666666666599</v>
      </c>
      <c r="C453" s="22">
        <f ca="1">IFERROR(__xludf.DUMMYFUNCTION("""COMPUTED_VALUE"""),148)</f>
        <v>148</v>
      </c>
      <c r="D453" s="22">
        <v>77.790000000000006</v>
      </c>
      <c r="E453" s="23">
        <v>309.3</v>
      </c>
      <c r="G453" s="21">
        <f t="shared" ca="1" si="259"/>
        <v>45212.666666666599</v>
      </c>
      <c r="H453" s="19">
        <f t="shared" ref="H453:J453" ca="1" si="452">(C453/C452) - 1</f>
        <v>1.5019545984500393E-2</v>
      </c>
      <c r="I453" s="19">
        <f t="shared" si="452"/>
        <v>-2.5703637064644624E-4</v>
      </c>
      <c r="J453" s="17">
        <f t="shared" si="452"/>
        <v>-1.7750524447313065E-3</v>
      </c>
    </row>
    <row r="454" spans="2:10" ht="15.75" customHeight="1" x14ac:dyDescent="0.25">
      <c r="B454" s="21">
        <f ca="1">IFERROR(__xludf.DUMMYFUNCTION("""COMPUTED_VALUE"""),45215.6666666666)</f>
        <v>45215.666666666599</v>
      </c>
      <c r="C454" s="22">
        <f ca="1">IFERROR(__xludf.DUMMYFUNCTION("""COMPUTED_VALUE"""),147.85)</f>
        <v>147.85</v>
      </c>
      <c r="D454" s="22">
        <v>78.73</v>
      </c>
      <c r="E454" s="23">
        <v>314.39</v>
      </c>
      <c r="G454" s="21">
        <f t="shared" ca="1" si="259"/>
        <v>45215.666666666599</v>
      </c>
      <c r="H454" s="19">
        <f t="shared" ref="H454:J454" ca="1" si="453">(C454/C453) - 1</f>
        <v>-1.0135135135135309E-3</v>
      </c>
      <c r="I454" s="19">
        <f t="shared" si="453"/>
        <v>1.2083815400437015E-2</v>
      </c>
      <c r="J454" s="17">
        <f t="shared" si="453"/>
        <v>1.6456514710636805E-2</v>
      </c>
    </row>
    <row r="455" spans="2:10" ht="15.75" customHeight="1" x14ac:dyDescent="0.25">
      <c r="B455" s="21">
        <f ca="1">IFERROR(__xludf.DUMMYFUNCTION("""COMPUTED_VALUE"""),45216.6666666666)</f>
        <v>45216.666666666599</v>
      </c>
      <c r="C455" s="22">
        <f ca="1">IFERROR(__xludf.DUMMYFUNCTION("""COMPUTED_VALUE"""),147.53)</f>
        <v>147.53</v>
      </c>
      <c r="D455" s="22">
        <v>80.33</v>
      </c>
      <c r="E455" s="23">
        <v>309.36</v>
      </c>
      <c r="G455" s="21">
        <f t="shared" ca="1" si="259"/>
        <v>45216.666666666599</v>
      </c>
      <c r="H455" s="19">
        <f t="shared" ref="H455:J455" ca="1" si="454">(C455/C454) - 1</f>
        <v>-2.1643557659789536E-3</v>
      </c>
      <c r="I455" s="19">
        <f t="shared" si="454"/>
        <v>2.0322621618188652E-2</v>
      </c>
      <c r="J455" s="17">
        <f t="shared" si="454"/>
        <v>-1.5999236616940693E-2</v>
      </c>
    </row>
    <row r="456" spans="2:10" ht="15.75" customHeight="1" x14ac:dyDescent="0.25">
      <c r="B456" s="21">
        <f ca="1">IFERROR(__xludf.DUMMYFUNCTION("""COMPUTED_VALUE"""),45217.6666666666)</f>
        <v>45217.666666666599</v>
      </c>
      <c r="C456" s="22">
        <f ca="1">IFERROR(__xludf.DUMMYFUNCTION("""COMPUTED_VALUE"""),145.91)</f>
        <v>145.91</v>
      </c>
      <c r="D456" s="22">
        <v>74.88</v>
      </c>
      <c r="E456" s="23">
        <v>301.95999999999998</v>
      </c>
      <c r="G456" s="21">
        <f t="shared" ca="1" si="259"/>
        <v>45217.666666666599</v>
      </c>
      <c r="H456" s="19">
        <f t="shared" ref="H456:J456" ca="1" si="455">(C456/C455) - 1</f>
        <v>-1.0980817460855441E-2</v>
      </c>
      <c r="I456" s="19">
        <f t="shared" si="455"/>
        <v>-6.7845138802439919E-2</v>
      </c>
      <c r="J456" s="17">
        <f t="shared" si="455"/>
        <v>-2.3920351693819564E-2</v>
      </c>
    </row>
    <row r="457" spans="2:10" ht="15.75" customHeight="1" x14ac:dyDescent="0.25">
      <c r="B457" s="21">
        <f ca="1">IFERROR(__xludf.DUMMYFUNCTION("""COMPUTED_VALUE"""),45218.6666666666)</f>
        <v>45218.666666666599</v>
      </c>
      <c r="C457" s="22">
        <f ca="1">IFERROR(__xludf.DUMMYFUNCTION("""COMPUTED_VALUE"""),145.29)</f>
        <v>145.29</v>
      </c>
      <c r="D457" s="22">
        <v>72.92</v>
      </c>
      <c r="E457" s="23">
        <v>299.19</v>
      </c>
      <c r="G457" s="21">
        <f t="shared" ca="1" si="259"/>
        <v>45218.666666666599</v>
      </c>
      <c r="H457" s="19">
        <f t="shared" ref="H457:J457" ca="1" si="456">(C457/C456) - 1</f>
        <v>-4.249194709067261E-3</v>
      </c>
      <c r="I457" s="19">
        <f t="shared" si="456"/>
        <v>-2.6175213675213582E-2</v>
      </c>
      <c r="J457" s="17">
        <f t="shared" si="456"/>
        <v>-9.1734004503907229E-3</v>
      </c>
    </row>
    <row r="458" spans="2:10" ht="15.75" customHeight="1" x14ac:dyDescent="0.25">
      <c r="B458" s="21">
        <f ca="1">IFERROR(__xludf.DUMMYFUNCTION("""COMPUTED_VALUE"""),45219.6666666666)</f>
        <v>45219.666666666599</v>
      </c>
      <c r="C458" s="22">
        <f ca="1">IFERROR(__xludf.DUMMYFUNCTION("""COMPUTED_VALUE"""),142.95)</f>
        <v>142.94999999999999</v>
      </c>
      <c r="D458" s="22">
        <v>73.13</v>
      </c>
      <c r="E458" s="23">
        <v>300.05</v>
      </c>
      <c r="G458" s="21">
        <f t="shared" ca="1" si="259"/>
        <v>45219.666666666599</v>
      </c>
      <c r="H458" s="19">
        <f t="shared" ref="H458:J458" ca="1" si="457">(C458/C457) - 1</f>
        <v>-1.6105719595292167E-2</v>
      </c>
      <c r="I458" s="19">
        <f t="shared" si="457"/>
        <v>2.8798683488753252E-3</v>
      </c>
      <c r="J458" s="17">
        <f t="shared" si="457"/>
        <v>2.8744276212440134E-3</v>
      </c>
    </row>
    <row r="459" spans="2:10" ht="15.75" customHeight="1" x14ac:dyDescent="0.25">
      <c r="B459" s="21">
        <f ca="1">IFERROR(__xludf.DUMMYFUNCTION("""COMPUTED_VALUE"""),45222.6666666666)</f>
        <v>45222.666666666599</v>
      </c>
      <c r="C459" s="22">
        <f ca="1">IFERROR(__xludf.DUMMYFUNCTION("""COMPUTED_VALUE"""),141)</f>
        <v>141</v>
      </c>
      <c r="D459" s="22">
        <v>71.7</v>
      </c>
      <c r="E459" s="23">
        <v>299.22000000000003</v>
      </c>
      <c r="G459" s="21">
        <f t="shared" ca="1" si="259"/>
        <v>45222.666666666599</v>
      </c>
      <c r="H459" s="19">
        <f t="shared" ref="H459:J459" ca="1" si="458">(C459/C458) - 1</f>
        <v>-1.364113326337868E-2</v>
      </c>
      <c r="I459" s="19">
        <f t="shared" si="458"/>
        <v>-1.9554218514973187E-2</v>
      </c>
      <c r="J459" s="17">
        <f t="shared" si="458"/>
        <v>-2.7662056323946027E-3</v>
      </c>
    </row>
    <row r="460" spans="2:10" ht="15.75" customHeight="1" x14ac:dyDescent="0.25">
      <c r="B460" s="21">
        <f ca="1">IFERROR(__xludf.DUMMYFUNCTION("""COMPUTED_VALUE"""),45223.6666666666)</f>
        <v>45223.666666666599</v>
      </c>
      <c r="C460" s="22">
        <f ca="1">IFERROR(__xludf.DUMMYFUNCTION("""COMPUTED_VALUE"""),141.17)</f>
        <v>141.16999999999999</v>
      </c>
      <c r="D460" s="22">
        <v>71.56</v>
      </c>
      <c r="E460" s="23">
        <v>299.18</v>
      </c>
      <c r="G460" s="21">
        <f t="shared" ca="1" si="259"/>
        <v>45223.666666666599</v>
      </c>
      <c r="H460" s="19">
        <f t="shared" ref="H460:J460" ca="1" si="459">(C460/C459) - 1</f>
        <v>1.2056737588652666E-3</v>
      </c>
      <c r="I460" s="19">
        <f t="shared" si="459"/>
        <v>-1.9525801952580135E-3</v>
      </c>
      <c r="J460" s="17">
        <f t="shared" si="459"/>
        <v>-1.3368090368293117E-4</v>
      </c>
    </row>
    <row r="461" spans="2:10" ht="15.75" customHeight="1" x14ac:dyDescent="0.25">
      <c r="B461" s="21">
        <f ca="1">IFERROR(__xludf.DUMMYFUNCTION("""COMPUTED_VALUE"""),45224.6666666666)</f>
        <v>45224.666666666599</v>
      </c>
      <c r="C461" s="22">
        <f ca="1">IFERROR(__xludf.DUMMYFUNCTION("""COMPUTED_VALUE"""),140.4)</f>
        <v>140.4</v>
      </c>
      <c r="D461" s="22">
        <v>71.400000000000006</v>
      </c>
      <c r="E461" s="23">
        <v>296.76</v>
      </c>
      <c r="G461" s="21">
        <f t="shared" ca="1" si="259"/>
        <v>45224.666666666599</v>
      </c>
      <c r="H461" s="19">
        <f t="shared" ref="H461:J461" ca="1" si="460">(C461/C460) - 1</f>
        <v>-5.4544166607635169E-3</v>
      </c>
      <c r="I461" s="19">
        <f t="shared" si="460"/>
        <v>-2.2358859698154987E-3</v>
      </c>
      <c r="J461" s="17">
        <f t="shared" si="460"/>
        <v>-8.0887759876997478E-3</v>
      </c>
    </row>
    <row r="462" spans="2:10" ht="15.75" customHeight="1" x14ac:dyDescent="0.25">
      <c r="B462" s="21">
        <f ca="1">IFERROR(__xludf.DUMMYFUNCTION("""COMPUTED_VALUE"""),45225.6666666666)</f>
        <v>45225.666666666599</v>
      </c>
      <c r="C462" s="22">
        <f ca="1">IFERROR(__xludf.DUMMYFUNCTION("""COMPUTED_VALUE"""),140.76)</f>
        <v>140.76</v>
      </c>
      <c r="D462" s="22">
        <v>72.069999999999993</v>
      </c>
      <c r="E462" s="23">
        <v>296.99</v>
      </c>
      <c r="G462" s="21">
        <f t="shared" ca="1" si="259"/>
        <v>45225.666666666599</v>
      </c>
      <c r="H462" s="19">
        <f t="shared" ref="H462:J462" ca="1" si="461">(C462/C461) - 1</f>
        <v>2.564102564102555E-3</v>
      </c>
      <c r="I462" s="19">
        <f t="shared" si="461"/>
        <v>9.3837535014003048E-3</v>
      </c>
      <c r="J462" s="17">
        <f t="shared" si="461"/>
        <v>7.750370669901141E-4</v>
      </c>
    </row>
    <row r="463" spans="2:10" ht="15.75" customHeight="1" x14ac:dyDescent="0.25">
      <c r="B463" s="21">
        <f ca="1">IFERROR(__xludf.DUMMYFUNCTION("""COMPUTED_VALUE"""),45226.6666666666)</f>
        <v>45226.666666666599</v>
      </c>
      <c r="C463" s="22">
        <f ca="1">IFERROR(__xludf.DUMMYFUNCTION("""COMPUTED_VALUE"""),135.69)</f>
        <v>135.69</v>
      </c>
      <c r="D463" s="22">
        <v>70.400000000000006</v>
      </c>
      <c r="E463" s="23">
        <v>289.91000000000003</v>
      </c>
      <c r="G463" s="21">
        <f t="shared" ca="1" si="259"/>
        <v>45226.666666666599</v>
      </c>
      <c r="H463" s="19">
        <f t="shared" ref="H463:J463" ca="1" si="462">(C463/C462) - 1</f>
        <v>-3.6018755328218188E-2</v>
      </c>
      <c r="I463" s="19">
        <f t="shared" si="462"/>
        <v>-2.3171916192590403E-2</v>
      </c>
      <c r="J463" s="17">
        <f t="shared" si="462"/>
        <v>-2.3839186504596044E-2</v>
      </c>
    </row>
    <row r="464" spans="2:10" ht="15.75" customHeight="1" x14ac:dyDescent="0.25">
      <c r="B464" s="21">
        <f ca="1">IFERROR(__xludf.DUMMYFUNCTION("""COMPUTED_VALUE"""),45229.6666666666)</f>
        <v>45229.666666666599</v>
      </c>
      <c r="C464" s="22">
        <f ca="1">IFERROR(__xludf.DUMMYFUNCTION("""COMPUTED_VALUE"""),137.42)</f>
        <v>137.41999999999999</v>
      </c>
      <c r="D464" s="22">
        <v>70.59</v>
      </c>
      <c r="E464" s="23">
        <v>300.83</v>
      </c>
      <c r="G464" s="21">
        <f t="shared" ca="1" si="259"/>
        <v>45229.666666666599</v>
      </c>
      <c r="H464" s="19">
        <f t="shared" ref="H464:J464" ca="1" si="463">(C464/C463) - 1</f>
        <v>1.2749649937357166E-2</v>
      </c>
      <c r="I464" s="19">
        <f t="shared" si="463"/>
        <v>2.6988636363636243E-3</v>
      </c>
      <c r="J464" s="17">
        <f t="shared" si="463"/>
        <v>3.7666862129626333E-2</v>
      </c>
    </row>
    <row r="465" spans="2:10" ht="15.75" customHeight="1" x14ac:dyDescent="0.25">
      <c r="B465" s="21">
        <f ca="1">IFERROR(__xludf.DUMMYFUNCTION("""COMPUTED_VALUE"""),45230.6666666666)</f>
        <v>45230.666666666599</v>
      </c>
      <c r="C465" s="22">
        <f ca="1">IFERROR(__xludf.DUMMYFUNCTION("""COMPUTED_VALUE"""),139.06)</f>
        <v>139.06</v>
      </c>
      <c r="D465" s="22">
        <v>70.819999999999993</v>
      </c>
      <c r="E465" s="23">
        <v>303.61</v>
      </c>
      <c r="G465" s="21">
        <f t="shared" ca="1" si="259"/>
        <v>45230.666666666599</v>
      </c>
      <c r="H465" s="19">
        <f t="shared" ref="H465:J465" ca="1" si="464">(C465/C464) - 1</f>
        <v>1.1934216271285214E-2</v>
      </c>
      <c r="I465" s="19">
        <f t="shared" si="464"/>
        <v>3.2582518770363222E-3</v>
      </c>
      <c r="J465" s="17">
        <f t="shared" si="464"/>
        <v>9.241099624372584E-3</v>
      </c>
    </row>
    <row r="466" spans="2:10" ht="15.75" customHeight="1" x14ac:dyDescent="0.25">
      <c r="B466" s="21">
        <f ca="1">IFERROR(__xludf.DUMMYFUNCTION("""COMPUTED_VALUE"""),45231.6666666666)</f>
        <v>45231.666666666599</v>
      </c>
      <c r="C466" s="22">
        <f ca="1">IFERROR(__xludf.DUMMYFUNCTION("""COMPUTED_VALUE"""),138.94)</f>
        <v>138.94</v>
      </c>
      <c r="D466" s="22">
        <v>70.95</v>
      </c>
      <c r="E466" s="23">
        <v>307.16000000000003</v>
      </c>
      <c r="G466" s="21">
        <f t="shared" ca="1" si="259"/>
        <v>45231.666666666599</v>
      </c>
      <c r="H466" s="19">
        <f t="shared" ref="H466:J466" ca="1" si="465">(C466/C465) - 1</f>
        <v>-8.6293686178628981E-4</v>
      </c>
      <c r="I466" s="19">
        <f t="shared" si="465"/>
        <v>1.8356396498164784E-3</v>
      </c>
      <c r="J466" s="17">
        <f t="shared" si="465"/>
        <v>1.1692631994993707E-2</v>
      </c>
    </row>
    <row r="467" spans="2:10" ht="15.75" customHeight="1" x14ac:dyDescent="0.25">
      <c r="B467" s="21">
        <f ca="1">IFERROR(__xludf.DUMMYFUNCTION("""COMPUTED_VALUE"""),45232.6666666666)</f>
        <v>45232.666666666599</v>
      </c>
      <c r="C467" s="22">
        <f ca="1">IFERROR(__xludf.DUMMYFUNCTION("""COMPUTED_VALUE"""),141.42)</f>
        <v>141.41999999999999</v>
      </c>
      <c r="D467" s="22">
        <v>73.459999999999994</v>
      </c>
      <c r="E467" s="23">
        <v>313.76</v>
      </c>
      <c r="G467" s="21">
        <f t="shared" ca="1" si="259"/>
        <v>45232.666666666599</v>
      </c>
      <c r="H467" s="19">
        <f t="shared" ref="H467:J467" ca="1" si="466">(C467/C466) - 1</f>
        <v>1.7849431409241223E-2</v>
      </c>
      <c r="I467" s="19">
        <f t="shared" si="466"/>
        <v>3.5377026074700391E-2</v>
      </c>
      <c r="J467" s="17">
        <f t="shared" si="466"/>
        <v>2.1487172808959398E-2</v>
      </c>
    </row>
    <row r="468" spans="2:10" ht="15.75" customHeight="1" x14ac:dyDescent="0.25">
      <c r="B468" s="21">
        <f ca="1">IFERROR(__xludf.DUMMYFUNCTION("""COMPUTED_VALUE"""),45233.6666666666)</f>
        <v>45233.666666666599</v>
      </c>
      <c r="C468" s="22">
        <f ca="1">IFERROR(__xludf.DUMMYFUNCTION("""COMPUTED_VALUE"""),143)</f>
        <v>143</v>
      </c>
      <c r="D468" s="22">
        <v>76.260000000000005</v>
      </c>
      <c r="E468" s="23">
        <v>327.62</v>
      </c>
      <c r="G468" s="21">
        <f t="shared" ca="1" si="259"/>
        <v>45233.666666666599</v>
      </c>
      <c r="H468" s="19">
        <f t="shared" ref="H468:J468" ca="1" si="467">(C468/C467) - 1</f>
        <v>1.1172394286522502E-2</v>
      </c>
      <c r="I468" s="19">
        <f t="shared" si="467"/>
        <v>3.8115981486523509E-2</v>
      </c>
      <c r="J468" s="17">
        <f t="shared" si="467"/>
        <v>4.4173890872004185E-2</v>
      </c>
    </row>
    <row r="469" spans="2:10" ht="15.75" customHeight="1" x14ac:dyDescent="0.25">
      <c r="B469" s="21">
        <f ca="1">IFERROR(__xludf.DUMMYFUNCTION("""COMPUTED_VALUE"""),45236.6666666666)</f>
        <v>45236.666666666599</v>
      </c>
      <c r="C469" s="22">
        <f ca="1">IFERROR(__xludf.DUMMYFUNCTION("""COMPUTED_VALUE"""),144.08)</f>
        <v>144.08000000000001</v>
      </c>
      <c r="D469" s="22">
        <v>75.92</v>
      </c>
      <c r="E469" s="23">
        <v>323.91000000000003</v>
      </c>
      <c r="G469" s="21">
        <f t="shared" ca="1" si="259"/>
        <v>45236.666666666599</v>
      </c>
      <c r="H469" s="19">
        <f t="shared" ref="H469:J469" ca="1" si="468">(C469/C468) - 1</f>
        <v>7.5524475524475498E-3</v>
      </c>
      <c r="I469" s="19">
        <f t="shared" si="468"/>
        <v>-4.4584316810910574E-3</v>
      </c>
      <c r="J469" s="17">
        <f t="shared" si="468"/>
        <v>-1.1324094988095945E-2</v>
      </c>
    </row>
    <row r="470" spans="2:10" ht="15.75" customHeight="1" x14ac:dyDescent="0.25">
      <c r="B470" s="21">
        <f ca="1">IFERROR(__xludf.DUMMYFUNCTION("""COMPUTED_VALUE"""),45237.6666666666)</f>
        <v>45237.666666666599</v>
      </c>
      <c r="C470" s="22">
        <f ca="1">IFERROR(__xludf.DUMMYFUNCTION("""COMPUTED_VALUE"""),144.01)</f>
        <v>144.01</v>
      </c>
      <c r="D470" s="22">
        <v>75.510000000000005</v>
      </c>
      <c r="E470" s="23">
        <v>323.95</v>
      </c>
      <c r="G470" s="21">
        <f t="shared" ca="1" si="259"/>
        <v>45237.666666666599</v>
      </c>
      <c r="H470" s="19">
        <f t="shared" ref="H470:J470" ca="1" si="469">(C470/C469) - 1</f>
        <v>-4.8584119933381409E-4</v>
      </c>
      <c r="I470" s="19">
        <f t="shared" si="469"/>
        <v>-5.4004214963118136E-3</v>
      </c>
      <c r="J470" s="17">
        <f t="shared" si="469"/>
        <v>1.2349109320486384E-4</v>
      </c>
    </row>
    <row r="471" spans="2:10" ht="15.75" customHeight="1" x14ac:dyDescent="0.25">
      <c r="B471" s="21">
        <f ca="1">IFERROR(__xludf.DUMMYFUNCTION("""COMPUTED_VALUE"""),45238.6666666666)</f>
        <v>45238.666666666599</v>
      </c>
      <c r="C471" s="22">
        <f ca="1">IFERROR(__xludf.DUMMYFUNCTION("""COMPUTED_VALUE"""),144.72)</f>
        <v>144.72</v>
      </c>
      <c r="D471" s="22">
        <v>75.97</v>
      </c>
      <c r="E471" s="23">
        <v>324.56</v>
      </c>
      <c r="G471" s="21">
        <f t="shared" ca="1" si="259"/>
        <v>45238.666666666599</v>
      </c>
      <c r="H471" s="19">
        <f t="shared" ref="H471:J471" ca="1" si="470">(C471/C470) - 1</f>
        <v>4.9302131796402637E-3</v>
      </c>
      <c r="I471" s="19">
        <f t="shared" si="470"/>
        <v>6.0919083565089682E-3</v>
      </c>
      <c r="J471" s="17">
        <f t="shared" si="470"/>
        <v>1.8830066368267229E-3</v>
      </c>
    </row>
    <row r="472" spans="2:10" ht="15.75" customHeight="1" x14ac:dyDescent="0.25">
      <c r="B472" s="21">
        <f ca="1">IFERROR(__xludf.DUMMYFUNCTION("""COMPUTED_VALUE"""),45239.6666666666)</f>
        <v>45239.666666666599</v>
      </c>
      <c r="C472" s="22">
        <f ca="1">IFERROR(__xludf.DUMMYFUNCTION("""COMPUTED_VALUE"""),144.29)</f>
        <v>144.29</v>
      </c>
      <c r="D472" s="22">
        <v>74.19</v>
      </c>
      <c r="E472" s="23">
        <v>320.77999999999997</v>
      </c>
      <c r="G472" s="21">
        <f t="shared" ca="1" si="259"/>
        <v>45239.666666666599</v>
      </c>
      <c r="H472" s="19">
        <f t="shared" ref="H472:J472" ca="1" si="471">(C472/C471) - 1</f>
        <v>-2.9712548369265068E-3</v>
      </c>
      <c r="I472" s="19">
        <f t="shared" si="471"/>
        <v>-2.3430301434776868E-2</v>
      </c>
      <c r="J472" s="17">
        <f t="shared" si="471"/>
        <v>-1.1646536849889144E-2</v>
      </c>
    </row>
    <row r="473" spans="2:10" ht="15.75" customHeight="1" x14ac:dyDescent="0.25">
      <c r="B473" s="21">
        <f ca="1">IFERROR(__xludf.DUMMYFUNCTION("""COMPUTED_VALUE"""),45240.6666666666)</f>
        <v>45240.666666666599</v>
      </c>
      <c r="C473" s="22">
        <f ca="1">IFERROR(__xludf.DUMMYFUNCTION("""COMPUTED_VALUE"""),146.43)</f>
        <v>146.43</v>
      </c>
      <c r="D473" s="22">
        <v>75.33</v>
      </c>
      <c r="E473" s="23">
        <v>325.51</v>
      </c>
      <c r="G473" s="21">
        <f t="shared" ca="1" si="259"/>
        <v>45240.666666666599</v>
      </c>
      <c r="H473" s="19">
        <f t="shared" ref="H473:J473" ca="1" si="472">(C473/C472) - 1</f>
        <v>1.4831242636357489E-2</v>
      </c>
      <c r="I473" s="19">
        <f t="shared" si="472"/>
        <v>1.5365952284674522E-2</v>
      </c>
      <c r="J473" s="17">
        <f t="shared" si="472"/>
        <v>1.4745308310992078E-2</v>
      </c>
    </row>
    <row r="474" spans="2:10" ht="15.75" customHeight="1" x14ac:dyDescent="0.25">
      <c r="B474" s="21">
        <f ca="1">IFERROR(__xludf.DUMMYFUNCTION("""COMPUTED_VALUE"""),45243.6666666666)</f>
        <v>45243.666666666599</v>
      </c>
      <c r="C474" s="22">
        <f ca="1">IFERROR(__xludf.DUMMYFUNCTION("""COMPUTED_VALUE"""),145.78)</f>
        <v>145.78</v>
      </c>
      <c r="D474" s="22">
        <v>75.040000000000006</v>
      </c>
      <c r="E474" s="23">
        <v>326.91000000000003</v>
      </c>
      <c r="G474" s="21">
        <f t="shared" ca="1" si="259"/>
        <v>45243.666666666599</v>
      </c>
      <c r="H474" s="19">
        <f t="shared" ref="H474:J474" ca="1" si="473">(C474/C473) - 1</f>
        <v>-4.4389810831114707E-3</v>
      </c>
      <c r="I474" s="19">
        <f t="shared" si="473"/>
        <v>-3.8497278640646782E-3</v>
      </c>
      <c r="J474" s="17">
        <f t="shared" si="473"/>
        <v>4.3009431353877581E-3</v>
      </c>
    </row>
    <row r="475" spans="2:10" ht="15.75" customHeight="1" x14ac:dyDescent="0.25">
      <c r="B475" s="21">
        <f ca="1">IFERROR(__xludf.DUMMYFUNCTION("""COMPUTED_VALUE"""),45244.6666666666)</f>
        <v>45244.666666666599</v>
      </c>
      <c r="C475" s="22">
        <f ca="1">IFERROR(__xludf.DUMMYFUNCTION("""COMPUTED_VALUE"""),148.44)</f>
        <v>148.44</v>
      </c>
      <c r="D475" s="22">
        <v>78.31</v>
      </c>
      <c r="E475" s="23">
        <v>338.72</v>
      </c>
      <c r="G475" s="21">
        <f t="shared" ca="1" si="259"/>
        <v>45244.666666666599</v>
      </c>
      <c r="H475" s="19">
        <f t="shared" ref="H475:J475" ca="1" si="474">(C475/C474) - 1</f>
        <v>1.8246673069008068E-2</v>
      </c>
      <c r="I475" s="19">
        <f t="shared" si="474"/>
        <v>4.357675906183367E-2</v>
      </c>
      <c r="J475" s="17">
        <f t="shared" si="474"/>
        <v>3.6126150928390111E-2</v>
      </c>
    </row>
    <row r="476" spans="2:10" ht="15.75" customHeight="1" x14ac:dyDescent="0.25">
      <c r="B476" s="21">
        <f ca="1">IFERROR(__xludf.DUMMYFUNCTION("""COMPUTED_VALUE"""),45245.6666666666)</f>
        <v>45245.666666666599</v>
      </c>
      <c r="C476" s="22">
        <f ca="1">IFERROR(__xludf.DUMMYFUNCTION("""COMPUTED_VALUE"""),149.74)</f>
        <v>149.74</v>
      </c>
      <c r="D476" s="22">
        <v>79.680000000000007</v>
      </c>
      <c r="E476" s="23">
        <v>337.6</v>
      </c>
      <c r="G476" s="21">
        <f t="shared" ca="1" si="259"/>
        <v>45245.666666666599</v>
      </c>
      <c r="H476" s="19">
        <f t="shared" ref="H476:J476" ca="1" si="475">(C476/C475) - 1</f>
        <v>8.7577472379414267E-3</v>
      </c>
      <c r="I476" s="19">
        <f t="shared" si="475"/>
        <v>1.74945728514877E-2</v>
      </c>
      <c r="J476" s="17">
        <f t="shared" si="475"/>
        <v>-3.3065658951346721E-3</v>
      </c>
    </row>
    <row r="477" spans="2:10" ht="15.75" customHeight="1" x14ac:dyDescent="0.25">
      <c r="B477" s="21">
        <f ca="1">IFERROR(__xludf.DUMMYFUNCTION("""COMPUTED_VALUE"""),45246.6666666666)</f>
        <v>45246.666666666599</v>
      </c>
      <c r="C477" s="22">
        <f ca="1">IFERROR(__xludf.DUMMYFUNCTION("""COMPUTED_VALUE"""),151.45)</f>
        <v>151.44999999999999</v>
      </c>
      <c r="D477" s="22">
        <v>79.66</v>
      </c>
      <c r="E477" s="23">
        <v>336.67</v>
      </c>
      <c r="G477" s="21">
        <f t="shared" ca="1" si="259"/>
        <v>45246.666666666599</v>
      </c>
      <c r="H477" s="19">
        <f t="shared" ref="H477:J477" ca="1" si="476">(C477/C476) - 1</f>
        <v>1.141979431013751E-2</v>
      </c>
      <c r="I477" s="19">
        <f t="shared" si="476"/>
        <v>-2.5100401606437117E-4</v>
      </c>
      <c r="J477" s="17">
        <f t="shared" si="476"/>
        <v>-2.7547393364929507E-3</v>
      </c>
    </row>
    <row r="478" spans="2:10" ht="15.75" customHeight="1" x14ac:dyDescent="0.25">
      <c r="B478" s="21">
        <f ca="1">IFERROR(__xludf.DUMMYFUNCTION("""COMPUTED_VALUE"""),45247.6666666666)</f>
        <v>45247.666666666599</v>
      </c>
      <c r="C478" s="22">
        <f ca="1">IFERROR(__xludf.DUMMYFUNCTION("""COMPUTED_VALUE"""),152.82)</f>
        <v>152.82</v>
      </c>
      <c r="D478" s="22">
        <v>80.28</v>
      </c>
      <c r="E478" s="23">
        <v>339.19</v>
      </c>
      <c r="G478" s="21">
        <f t="shared" ca="1" si="259"/>
        <v>45247.666666666599</v>
      </c>
      <c r="H478" s="19">
        <f t="shared" ref="H478:J478" ca="1" si="477">(C478/C477) - 1</f>
        <v>9.0458897325851328E-3</v>
      </c>
      <c r="I478" s="19">
        <f t="shared" si="477"/>
        <v>7.7830780818479717E-3</v>
      </c>
      <c r="J478" s="17">
        <f t="shared" si="477"/>
        <v>7.4850744052039619E-3</v>
      </c>
    </row>
    <row r="479" spans="2:10" ht="15.75" customHeight="1" x14ac:dyDescent="0.25">
      <c r="B479" s="21">
        <f ca="1">IFERROR(__xludf.DUMMYFUNCTION("""COMPUTED_VALUE"""),45250.6666666666)</f>
        <v>45250.666666666599</v>
      </c>
      <c r="C479" s="22">
        <f ca="1">IFERROR(__xludf.DUMMYFUNCTION("""COMPUTED_VALUE"""),153.29)</f>
        <v>153.29</v>
      </c>
      <c r="D479" s="22">
        <v>79.7</v>
      </c>
      <c r="E479" s="23">
        <v>339.45</v>
      </c>
      <c r="G479" s="21">
        <f t="shared" ca="1" si="259"/>
        <v>45250.666666666599</v>
      </c>
      <c r="H479" s="19">
        <f t="shared" ref="H479:J479" ca="1" si="478">(C479/C478) - 1</f>
        <v>3.0755136762203872E-3</v>
      </c>
      <c r="I479" s="19">
        <f t="shared" si="478"/>
        <v>-7.2247135027403431E-3</v>
      </c>
      <c r="J479" s="17">
        <f t="shared" si="478"/>
        <v>7.6653203219434474E-4</v>
      </c>
    </row>
    <row r="480" spans="2:10" ht="15.75" customHeight="1" x14ac:dyDescent="0.25">
      <c r="B480" s="21">
        <f ca="1">IFERROR(__xludf.DUMMYFUNCTION("""COMPUTED_VALUE"""),45251.6666666666)</f>
        <v>45251.666666666599</v>
      </c>
      <c r="C480" s="22">
        <f ca="1">IFERROR(__xludf.DUMMYFUNCTION("""COMPUTED_VALUE"""),152.97)</f>
        <v>152.97</v>
      </c>
      <c r="D480" s="22">
        <v>78.47</v>
      </c>
      <c r="E480" s="23">
        <v>334.97</v>
      </c>
      <c r="G480" s="21">
        <f t="shared" ca="1" si="259"/>
        <v>45251.666666666599</v>
      </c>
      <c r="H480" s="19">
        <f t="shared" ref="H480:J480" ca="1" si="479">(C480/C479) - 1</f>
        <v>-2.0875464805271138E-3</v>
      </c>
      <c r="I480" s="19">
        <f t="shared" si="479"/>
        <v>-1.543287327478049E-2</v>
      </c>
      <c r="J480" s="17">
        <f t="shared" si="479"/>
        <v>-1.3197820002945782E-2</v>
      </c>
    </row>
    <row r="481" spans="2:10" ht="15.75" customHeight="1" x14ac:dyDescent="0.25">
      <c r="B481" s="21">
        <f ca="1">IFERROR(__xludf.DUMMYFUNCTION("""COMPUTED_VALUE"""),45252.6666666666)</f>
        <v>45252.666666666599</v>
      </c>
      <c r="C481" s="22">
        <f ca="1">IFERROR(__xludf.DUMMYFUNCTION("""COMPUTED_VALUE"""),153.33)</f>
        <v>153.33000000000001</v>
      </c>
      <c r="D481" s="22">
        <v>78.489999999999995</v>
      </c>
      <c r="E481" s="23">
        <v>338.64</v>
      </c>
      <c r="G481" s="21">
        <f t="shared" ca="1" si="259"/>
        <v>45252.666666666599</v>
      </c>
      <c r="H481" s="19">
        <f t="shared" ref="H481:J481" ca="1" si="480">(C481/C480) - 1</f>
        <v>2.35340262796635E-3</v>
      </c>
      <c r="I481" s="19">
        <f t="shared" si="480"/>
        <v>2.54874474321376E-4</v>
      </c>
      <c r="J481" s="17">
        <f t="shared" si="480"/>
        <v>1.0956205033286537E-2</v>
      </c>
    </row>
    <row r="482" spans="2:10" ht="15.75" customHeight="1" x14ac:dyDescent="0.25">
      <c r="B482" s="21">
        <f ca="1">IFERROR(__xludf.DUMMYFUNCTION("""COMPUTED_VALUE"""),45254.5416666666)</f>
        <v>45254.541666666599</v>
      </c>
      <c r="C482" s="22">
        <f ca="1">IFERROR(__xludf.DUMMYFUNCTION("""COMPUTED_VALUE"""),153.54)</f>
        <v>153.54</v>
      </c>
      <c r="D482" s="22">
        <v>78.650000000000006</v>
      </c>
      <c r="E482" s="23">
        <v>339.15</v>
      </c>
      <c r="G482" s="21">
        <f t="shared" ca="1" si="259"/>
        <v>45254.541666666599</v>
      </c>
      <c r="H482" s="19">
        <f t="shared" ref="H482:J482" ca="1" si="481">(C482/C481) - 1</f>
        <v>1.3695949911953775E-3</v>
      </c>
      <c r="I482" s="19">
        <f t="shared" si="481"/>
        <v>2.0384762390115441E-3</v>
      </c>
      <c r="J482" s="17">
        <f t="shared" si="481"/>
        <v>1.5060240963855609E-3</v>
      </c>
    </row>
    <row r="483" spans="2:10" ht="15.75" customHeight="1" x14ac:dyDescent="0.25">
      <c r="B483" s="21">
        <f ca="1">IFERROR(__xludf.DUMMYFUNCTION("""COMPUTED_VALUE"""),45257.6666666666)</f>
        <v>45257.666666666599</v>
      </c>
      <c r="C483" s="22">
        <f ca="1">IFERROR(__xludf.DUMMYFUNCTION("""COMPUTED_VALUE"""),153.19)</f>
        <v>153.19</v>
      </c>
      <c r="D483" s="22">
        <v>77.95</v>
      </c>
      <c r="E483" s="23">
        <v>337.71</v>
      </c>
      <c r="G483" s="21">
        <f t="shared" ca="1" si="259"/>
        <v>45257.666666666599</v>
      </c>
      <c r="H483" s="19">
        <f t="shared" ref="H483:J483" ca="1" si="482">(C483/C482) - 1</f>
        <v>-2.2795362771915739E-3</v>
      </c>
      <c r="I483" s="19">
        <f t="shared" si="482"/>
        <v>-8.9001907183725582E-3</v>
      </c>
      <c r="J483" s="17">
        <f t="shared" si="482"/>
        <v>-4.2459088898717523E-3</v>
      </c>
    </row>
    <row r="484" spans="2:10" ht="15.75" customHeight="1" x14ac:dyDescent="0.25">
      <c r="B484" s="21">
        <f ca="1">IFERROR(__xludf.DUMMYFUNCTION("""COMPUTED_VALUE"""),45258.6666666666)</f>
        <v>45258.666666666599</v>
      </c>
      <c r="C484" s="22">
        <f ca="1">IFERROR(__xludf.DUMMYFUNCTION("""COMPUTED_VALUE"""),153.54)</f>
        <v>153.54</v>
      </c>
      <c r="D484" s="22">
        <v>76.88</v>
      </c>
      <c r="E484" s="23">
        <v>337.65</v>
      </c>
      <c r="G484" s="21">
        <f t="shared" ca="1" si="259"/>
        <v>45258.666666666599</v>
      </c>
      <c r="H484" s="19">
        <f t="shared" ref="H484:J484" ca="1" si="483">(C484/C483) - 1</f>
        <v>2.2847444350153623E-3</v>
      </c>
      <c r="I484" s="19">
        <f t="shared" si="483"/>
        <v>-1.3726747915330462E-2</v>
      </c>
      <c r="J484" s="17">
        <f t="shared" si="483"/>
        <v>-1.7766722927958778E-4</v>
      </c>
    </row>
    <row r="485" spans="2:10" ht="15.75" customHeight="1" x14ac:dyDescent="0.25">
      <c r="B485" s="21">
        <f ca="1">IFERROR(__xludf.DUMMYFUNCTION("""COMPUTED_VALUE"""),45259.6666666666)</f>
        <v>45259.666666666599</v>
      </c>
      <c r="C485" s="22">
        <f ca="1">IFERROR(__xludf.DUMMYFUNCTION("""COMPUTED_VALUE"""),154.32)</f>
        <v>154.32</v>
      </c>
      <c r="D485" s="22">
        <v>78.55</v>
      </c>
      <c r="E485" s="23">
        <v>340.26</v>
      </c>
      <c r="G485" s="21">
        <f t="shared" ca="1" si="259"/>
        <v>45259.666666666599</v>
      </c>
      <c r="H485" s="19">
        <f t="shared" ref="H485:J485" ca="1" si="484">(C485/C484) - 1</f>
        <v>5.0801094177412853E-3</v>
      </c>
      <c r="I485" s="19">
        <f t="shared" si="484"/>
        <v>2.1722164412070866E-2</v>
      </c>
      <c r="J485" s="17">
        <f t="shared" si="484"/>
        <v>7.7298978231896687E-3</v>
      </c>
    </row>
    <row r="486" spans="2:10" ht="15.75" customHeight="1" x14ac:dyDescent="0.25">
      <c r="B486" s="21">
        <f ca="1">IFERROR(__xludf.DUMMYFUNCTION("""COMPUTED_VALUE"""),45260.6666666666)</f>
        <v>45260.666666666599</v>
      </c>
      <c r="C486" s="22">
        <f ca="1">IFERROR(__xludf.DUMMYFUNCTION("""COMPUTED_VALUE"""),156.08)</f>
        <v>156.08000000000001</v>
      </c>
      <c r="D486" s="22">
        <v>79.34</v>
      </c>
      <c r="E486" s="23">
        <v>341.54</v>
      </c>
      <c r="G486" s="21">
        <f t="shared" ca="1" si="259"/>
        <v>45260.666666666599</v>
      </c>
      <c r="H486" s="19">
        <f t="shared" ref="H486:J486" ca="1" si="485">(C486/C485) - 1</f>
        <v>1.1404872991187309E-2</v>
      </c>
      <c r="I486" s="19">
        <f t="shared" si="485"/>
        <v>1.0057288351368543E-2</v>
      </c>
      <c r="J486" s="17">
        <f t="shared" si="485"/>
        <v>3.7618291894434552E-3</v>
      </c>
    </row>
    <row r="487" spans="2:10" ht="15.75" customHeight="1" x14ac:dyDescent="0.25">
      <c r="B487" s="21">
        <f ca="1">IFERROR(__xludf.DUMMYFUNCTION("""COMPUTED_VALUE"""),45261.6666666666)</f>
        <v>45261.666666666599</v>
      </c>
      <c r="C487" s="22">
        <f ca="1">IFERROR(__xludf.DUMMYFUNCTION("""COMPUTED_VALUE"""),156.84)</f>
        <v>156.84</v>
      </c>
      <c r="D487" s="22">
        <v>80.89</v>
      </c>
      <c r="E487" s="23">
        <v>348.43</v>
      </c>
      <c r="G487" s="21">
        <f t="shared" ca="1" si="259"/>
        <v>45261.666666666599</v>
      </c>
      <c r="H487" s="19">
        <f t="shared" ref="H487:J487" ca="1" si="486">(C487/C486) - 1</f>
        <v>4.8692977960020922E-3</v>
      </c>
      <c r="I487" s="19">
        <f t="shared" si="486"/>
        <v>1.953617343080416E-2</v>
      </c>
      <c r="J487" s="17">
        <f t="shared" si="486"/>
        <v>2.0173332552555934E-2</v>
      </c>
    </row>
    <row r="488" spans="2:10" ht="15.75" customHeight="1" x14ac:dyDescent="0.25">
      <c r="B488" s="21">
        <f ca="1">IFERROR(__xludf.DUMMYFUNCTION("""COMPUTED_VALUE"""),45264.6666666666)</f>
        <v>45264.666666666599</v>
      </c>
      <c r="C488" s="22">
        <f ca="1">IFERROR(__xludf.DUMMYFUNCTION("""COMPUTED_VALUE"""),157.99)</f>
        <v>157.99</v>
      </c>
      <c r="D488" s="22">
        <v>81.209999999999994</v>
      </c>
      <c r="E488" s="23">
        <v>349.39</v>
      </c>
      <c r="G488" s="21">
        <f t="shared" ca="1" si="259"/>
        <v>45264.666666666599</v>
      </c>
      <c r="H488" s="19">
        <f t="shared" ref="H488:J488" ca="1" si="487">(C488/C487) - 1</f>
        <v>7.3323131854119428E-3</v>
      </c>
      <c r="I488" s="19">
        <f t="shared" si="487"/>
        <v>3.9559896155272334E-3</v>
      </c>
      <c r="J488" s="17">
        <f t="shared" si="487"/>
        <v>2.7552162557757942E-3</v>
      </c>
    </row>
    <row r="489" spans="2:10" ht="15.75" customHeight="1" x14ac:dyDescent="0.25">
      <c r="B489" s="21">
        <f ca="1">IFERROR(__xludf.DUMMYFUNCTION("""COMPUTED_VALUE"""),45265.6666666666)</f>
        <v>45265.666666666599</v>
      </c>
      <c r="C489" s="22">
        <f ca="1">IFERROR(__xludf.DUMMYFUNCTION("""COMPUTED_VALUE"""),157.97)</f>
        <v>157.97</v>
      </c>
      <c r="D489" s="22">
        <v>80.17</v>
      </c>
      <c r="E489" s="23">
        <v>341.75</v>
      </c>
      <c r="G489" s="21">
        <f t="shared" ca="1" si="259"/>
        <v>45265.666666666599</v>
      </c>
      <c r="H489" s="19">
        <f t="shared" ref="H489:J489" ca="1" si="488">(C489/C488) - 1</f>
        <v>-1.265902905247529E-4</v>
      </c>
      <c r="I489" s="19">
        <f t="shared" si="488"/>
        <v>-1.2806304642285382E-2</v>
      </c>
      <c r="J489" s="17">
        <f t="shared" si="488"/>
        <v>-2.1866681931366094E-2</v>
      </c>
    </row>
    <row r="490" spans="2:10" ht="15.75" customHeight="1" x14ac:dyDescent="0.25">
      <c r="B490" s="21">
        <f ca="1">IFERROR(__xludf.DUMMYFUNCTION("""COMPUTED_VALUE"""),45266.6666666666)</f>
        <v>45266.666666666599</v>
      </c>
      <c r="C490" s="22">
        <f ca="1">IFERROR(__xludf.DUMMYFUNCTION("""COMPUTED_VALUE"""),156.31)</f>
        <v>156.31</v>
      </c>
      <c r="D490" s="22">
        <v>79.41</v>
      </c>
      <c r="E490" s="23">
        <v>341.97</v>
      </c>
      <c r="G490" s="21">
        <f t="shared" ca="1" si="259"/>
        <v>45266.666666666599</v>
      </c>
      <c r="H490" s="19">
        <f t="shared" ref="H490:J490" ca="1" si="489">(C490/C489) - 1</f>
        <v>-1.0508324365385846E-2</v>
      </c>
      <c r="I490" s="19">
        <f t="shared" si="489"/>
        <v>-9.4798553074716407E-3</v>
      </c>
      <c r="J490" s="17">
        <f t="shared" si="489"/>
        <v>6.4374542794443101E-4</v>
      </c>
    </row>
    <row r="491" spans="2:10" ht="15.75" customHeight="1" x14ac:dyDescent="0.25">
      <c r="B491" s="21">
        <f ca="1">IFERROR(__xludf.DUMMYFUNCTION("""COMPUTED_VALUE"""),45267.6666666666)</f>
        <v>45267.666666666599</v>
      </c>
      <c r="C491" s="22">
        <f ca="1">IFERROR(__xludf.DUMMYFUNCTION("""COMPUTED_VALUE"""),156.79)</f>
        <v>156.79</v>
      </c>
      <c r="D491" s="22">
        <v>80.349999999999994</v>
      </c>
      <c r="E491" s="23">
        <v>344.62</v>
      </c>
      <c r="G491" s="21">
        <f t="shared" ca="1" si="259"/>
        <v>45267.666666666599</v>
      </c>
      <c r="H491" s="19">
        <f t="shared" ref="H491:J491" ca="1" si="490">(C491/C490) - 1</f>
        <v>3.0708208048109142E-3</v>
      </c>
      <c r="I491" s="19">
        <f t="shared" si="490"/>
        <v>1.1837300088149982E-2</v>
      </c>
      <c r="J491" s="17">
        <f t="shared" si="490"/>
        <v>7.7492177676403706E-3</v>
      </c>
    </row>
    <row r="492" spans="2:10" ht="15.75" customHeight="1" x14ac:dyDescent="0.25">
      <c r="B492" s="21">
        <f ca="1">IFERROR(__xludf.DUMMYFUNCTION("""COMPUTED_VALUE"""),45268.6666666666)</f>
        <v>45268.666666666599</v>
      </c>
      <c r="C492" s="22">
        <f ca="1">IFERROR(__xludf.DUMMYFUNCTION("""COMPUTED_VALUE"""),158.52)</f>
        <v>158.52000000000001</v>
      </c>
      <c r="D492" s="22">
        <v>82.28</v>
      </c>
      <c r="E492" s="23">
        <v>350.83</v>
      </c>
      <c r="G492" s="21">
        <f t="shared" ca="1" si="259"/>
        <v>45268.666666666599</v>
      </c>
      <c r="H492" s="19">
        <f t="shared" ref="H492:J492" ca="1" si="491">(C492/C491) - 1</f>
        <v>1.1033866955800775E-2</v>
      </c>
      <c r="I492" s="19">
        <f t="shared" si="491"/>
        <v>2.4019912881145133E-2</v>
      </c>
      <c r="J492" s="17">
        <f t="shared" si="491"/>
        <v>1.8019847948465006E-2</v>
      </c>
    </row>
    <row r="493" spans="2:10" ht="15.75" customHeight="1" x14ac:dyDescent="0.25">
      <c r="B493" s="21">
        <f ca="1">IFERROR(__xludf.DUMMYFUNCTION("""COMPUTED_VALUE"""),45271.6666666666)</f>
        <v>45271.666666666599</v>
      </c>
      <c r="C493" s="22">
        <f ca="1">IFERROR(__xludf.DUMMYFUNCTION("""COMPUTED_VALUE"""),159.1)</f>
        <v>159.1</v>
      </c>
      <c r="D493" s="22">
        <v>82.82</v>
      </c>
      <c r="E493" s="23">
        <v>351.76</v>
      </c>
      <c r="G493" s="21">
        <f t="shared" ca="1" si="259"/>
        <v>45271.666666666599</v>
      </c>
      <c r="H493" s="19">
        <f t="shared" ref="H493:J493" ca="1" si="492">(C493/C492) - 1</f>
        <v>3.6588443098661827E-3</v>
      </c>
      <c r="I493" s="19">
        <f t="shared" si="492"/>
        <v>6.5629557608166689E-3</v>
      </c>
      <c r="J493" s="17">
        <f t="shared" si="492"/>
        <v>2.6508565402045825E-3</v>
      </c>
    </row>
    <row r="494" spans="2:10" ht="15.75" customHeight="1" x14ac:dyDescent="0.25">
      <c r="B494" s="21">
        <f ca="1">IFERROR(__xludf.DUMMYFUNCTION("""COMPUTED_VALUE"""),45272.6666666666)</f>
        <v>45272.666666666599</v>
      </c>
      <c r="C494" s="22">
        <f ca="1">IFERROR(__xludf.DUMMYFUNCTION("""COMPUTED_VALUE"""),160.52)</f>
        <v>160.52000000000001</v>
      </c>
      <c r="D494" s="22">
        <v>83.6</v>
      </c>
      <c r="E494" s="23">
        <v>352.61</v>
      </c>
      <c r="G494" s="21">
        <f t="shared" ca="1" si="259"/>
        <v>45272.666666666599</v>
      </c>
      <c r="H494" s="19">
        <f t="shared" ref="H494:J494" ca="1" si="493">(C494/C493) - 1</f>
        <v>8.9252042740415316E-3</v>
      </c>
      <c r="I494" s="19">
        <f t="shared" si="493"/>
        <v>9.4180149722289386E-3</v>
      </c>
      <c r="J494" s="17">
        <f t="shared" si="493"/>
        <v>2.4164202865590845E-3</v>
      </c>
    </row>
    <row r="495" spans="2:10" ht="15.75" customHeight="1" x14ac:dyDescent="0.25">
      <c r="B495" s="21">
        <f ca="1">IFERROR(__xludf.DUMMYFUNCTION("""COMPUTED_VALUE"""),45273.6666666666)</f>
        <v>45273.666666666599</v>
      </c>
      <c r="C495" s="22">
        <f ca="1">IFERROR(__xludf.DUMMYFUNCTION("""COMPUTED_VALUE"""),161.06)</f>
        <v>161.06</v>
      </c>
      <c r="D495" s="22">
        <v>85.63</v>
      </c>
      <c r="E495" s="23">
        <v>362.73</v>
      </c>
      <c r="G495" s="21">
        <f t="shared" ca="1" si="259"/>
        <v>45273.666666666599</v>
      </c>
      <c r="H495" s="19">
        <f t="shared" ref="H495:J495" ca="1" si="494">(C495/C494) - 1</f>
        <v>3.3640667829553106E-3</v>
      </c>
      <c r="I495" s="19">
        <f t="shared" si="494"/>
        <v>2.4282296650717683E-2</v>
      </c>
      <c r="J495" s="17">
        <f t="shared" si="494"/>
        <v>2.8700263747483135E-2</v>
      </c>
    </row>
    <row r="496" spans="2:10" ht="15.75" customHeight="1" x14ac:dyDescent="0.25">
      <c r="B496" s="21">
        <f ca="1">IFERROR(__xludf.DUMMYFUNCTION("""COMPUTED_VALUE"""),45274.6666666666)</f>
        <v>45274.666666666599</v>
      </c>
      <c r="C496" s="22">
        <f ca="1">IFERROR(__xludf.DUMMYFUNCTION("""COMPUTED_VALUE"""),163.99)</f>
        <v>163.99</v>
      </c>
      <c r="D496" s="22">
        <v>91.04</v>
      </c>
      <c r="E496" s="23">
        <v>383.47</v>
      </c>
      <c r="G496" s="21">
        <f t="shared" ca="1" si="259"/>
        <v>45274.666666666599</v>
      </c>
      <c r="H496" s="19">
        <f t="shared" ref="H496:J496" ca="1" si="495">(C496/C495) - 1</f>
        <v>1.8191978144790788E-2</v>
      </c>
      <c r="I496" s="19">
        <f t="shared" si="495"/>
        <v>6.3178792479271495E-2</v>
      </c>
      <c r="J496" s="17">
        <f t="shared" si="495"/>
        <v>5.7177514956027853E-2</v>
      </c>
    </row>
    <row r="497" spans="2:10" ht="15.75" customHeight="1" x14ac:dyDescent="0.25">
      <c r="B497" s="21">
        <f ca="1">IFERROR(__xludf.DUMMYFUNCTION("""COMPUTED_VALUE"""),45275.6666666666)</f>
        <v>45275.666666666599</v>
      </c>
      <c r="C497" s="22">
        <f ca="1">IFERROR(__xludf.DUMMYFUNCTION("""COMPUTED_VALUE"""),165.23)</f>
        <v>165.23</v>
      </c>
      <c r="D497" s="22">
        <v>91.58</v>
      </c>
      <c r="E497" s="23">
        <v>380.51</v>
      </c>
      <c r="G497" s="21">
        <f t="shared" ca="1" si="259"/>
        <v>45275.666666666599</v>
      </c>
      <c r="H497" s="19">
        <f t="shared" ref="H497:J497" ca="1" si="496">(C497/C496) - 1</f>
        <v>7.561436672967714E-3</v>
      </c>
      <c r="I497" s="19">
        <f t="shared" si="496"/>
        <v>5.9314586994727581E-3</v>
      </c>
      <c r="J497" s="17">
        <f t="shared" si="496"/>
        <v>-7.7189871437141067E-3</v>
      </c>
    </row>
    <row r="498" spans="2:10" ht="15.75" customHeight="1" x14ac:dyDescent="0.25">
      <c r="B498" s="21">
        <f ca="1">IFERROR(__xludf.DUMMYFUNCTION("""COMPUTED_VALUE"""),45278.6666666666)</f>
        <v>45278.666666666599</v>
      </c>
      <c r="C498" s="22">
        <f ca="1">IFERROR(__xludf.DUMMYFUNCTION("""COMPUTED_VALUE"""),166.23)</f>
        <v>166.23</v>
      </c>
      <c r="D498" s="22">
        <v>90.76</v>
      </c>
      <c r="E498" s="23">
        <v>376.4</v>
      </c>
      <c r="G498" s="21">
        <f t="shared" ca="1" si="259"/>
        <v>45278.666666666599</v>
      </c>
      <c r="H498" s="19">
        <f t="shared" ref="H498:J498" ca="1" si="497">(C498/C497) - 1</f>
        <v>6.0521697028383947E-3</v>
      </c>
      <c r="I498" s="19">
        <f t="shared" si="497"/>
        <v>-8.9539200698841581E-3</v>
      </c>
      <c r="J498" s="17">
        <f t="shared" si="497"/>
        <v>-1.0801293001498014E-2</v>
      </c>
    </row>
    <row r="499" spans="2:10" ht="15.75" customHeight="1" x14ac:dyDescent="0.25">
      <c r="B499" s="21">
        <f ca="1">IFERROR(__xludf.DUMMYFUNCTION("""COMPUTED_VALUE"""),45279.6666666666)</f>
        <v>45279.666666666599</v>
      </c>
      <c r="C499" s="22">
        <f ca="1">IFERROR(__xludf.DUMMYFUNCTION("""COMPUTED_VALUE"""),168.45)</f>
        <v>168.45</v>
      </c>
      <c r="D499" s="22">
        <v>91.92</v>
      </c>
      <c r="E499" s="23">
        <v>382.45</v>
      </c>
      <c r="G499" s="21">
        <f t="shared" ca="1" si="259"/>
        <v>45279.666666666599</v>
      </c>
      <c r="H499" s="19">
        <f t="shared" ref="H499:J499" ca="1" si="498">(C499/C498) - 1</f>
        <v>1.3354990073993767E-2</v>
      </c>
      <c r="I499" s="19">
        <f t="shared" si="498"/>
        <v>1.2780960775672146E-2</v>
      </c>
      <c r="J499" s="17">
        <f t="shared" si="498"/>
        <v>1.6073326248671638E-2</v>
      </c>
    </row>
    <row r="500" spans="2:10" ht="15.75" customHeight="1" x14ac:dyDescent="0.25">
      <c r="B500" s="21">
        <f ca="1">IFERROR(__xludf.DUMMYFUNCTION("""COMPUTED_VALUE"""),45280.6666666666)</f>
        <v>45280.666666666599</v>
      </c>
      <c r="C500" s="22">
        <f ca="1">IFERROR(__xludf.DUMMYFUNCTION("""COMPUTED_VALUE"""),166.55)</f>
        <v>166.55</v>
      </c>
      <c r="D500" s="22">
        <v>91.14</v>
      </c>
      <c r="E500" s="23">
        <v>377.52</v>
      </c>
      <c r="G500" s="21">
        <f t="shared" ca="1" si="259"/>
        <v>45280.666666666599</v>
      </c>
      <c r="H500" s="19">
        <f t="shared" ref="H500:J500" ca="1" si="499">(C500/C499) - 1</f>
        <v>-1.1279311368358469E-2</v>
      </c>
      <c r="I500" s="19">
        <f t="shared" si="499"/>
        <v>-8.4856396866840322E-3</v>
      </c>
      <c r="J500" s="17">
        <f t="shared" si="499"/>
        <v>-1.2890573931232829E-2</v>
      </c>
    </row>
    <row r="501" spans="2:10" ht="15.75" customHeight="1" x14ac:dyDescent="0.25">
      <c r="B501" s="21">
        <f ca="1">IFERROR(__xludf.DUMMYFUNCTION("""COMPUTED_VALUE"""),45281.6666666666)</f>
        <v>45281.666666666599</v>
      </c>
      <c r="C501" s="22">
        <f ca="1">IFERROR(__xludf.DUMMYFUNCTION("""COMPUTED_VALUE"""),167.5)</f>
        <v>167.5</v>
      </c>
      <c r="D501" s="22">
        <v>92.63</v>
      </c>
      <c r="E501" s="23">
        <v>380.57</v>
      </c>
      <c r="G501" s="21">
        <f t="shared" ca="1" si="259"/>
        <v>45281.666666666599</v>
      </c>
      <c r="H501" s="19">
        <f t="shared" ref="H501:J501" ca="1" si="500">(C501/C500) - 1</f>
        <v>5.7039927949564806E-3</v>
      </c>
      <c r="I501" s="19">
        <f t="shared" si="500"/>
        <v>1.6348474873820518E-2</v>
      </c>
      <c r="J501" s="17">
        <f t="shared" si="500"/>
        <v>8.079042169951256E-3</v>
      </c>
    </row>
    <row r="502" spans="2:10" ht="15.75" customHeight="1" x14ac:dyDescent="0.25">
      <c r="B502" s="21">
        <f ca="1">IFERROR(__xludf.DUMMYFUNCTION("""COMPUTED_VALUE"""),45282.6666666666)</f>
        <v>45282.666666666599</v>
      </c>
      <c r="C502" s="22">
        <f ca="1">IFERROR(__xludf.DUMMYFUNCTION("""COMPUTED_VALUE"""),167.4)</f>
        <v>167.4</v>
      </c>
      <c r="D502" s="22">
        <v>92.41</v>
      </c>
      <c r="E502" s="23">
        <v>380.65</v>
      </c>
      <c r="G502" s="21">
        <f t="shared" ca="1" si="259"/>
        <v>45282.666666666599</v>
      </c>
      <c r="H502" s="19">
        <f t="shared" ref="H502:J502" ca="1" si="501">(C502/C501) - 1</f>
        <v>-5.9701492537311829E-4</v>
      </c>
      <c r="I502" s="19">
        <f t="shared" si="501"/>
        <v>-2.3750404836445638E-3</v>
      </c>
      <c r="J502" s="17">
        <f t="shared" si="501"/>
        <v>2.1021099929052767E-4</v>
      </c>
    </row>
    <row r="503" spans="2:10" ht="15.75" customHeight="1" x14ac:dyDescent="0.25">
      <c r="B503" s="21">
        <f ca="1">IFERROR(__xludf.DUMMYFUNCTION("""COMPUTED_VALUE"""),45286.6666666666)</f>
        <v>45286.666666666599</v>
      </c>
      <c r="C503" s="22">
        <f ca="1">IFERROR(__xludf.DUMMYFUNCTION("""COMPUTED_VALUE"""),168.39)</f>
        <v>168.39</v>
      </c>
      <c r="D503" s="22">
        <v>92.84</v>
      </c>
      <c r="E503" s="23">
        <v>381.61</v>
      </c>
      <c r="G503" s="21">
        <f t="shared" ca="1" si="259"/>
        <v>45286.666666666599</v>
      </c>
      <c r="H503" s="19">
        <f t="shared" ref="H503:J503" ca="1" si="502">(C503/C502) - 1</f>
        <v>5.9139784946236063E-3</v>
      </c>
      <c r="I503" s="19">
        <f t="shared" si="502"/>
        <v>4.6531760631967067E-3</v>
      </c>
      <c r="J503" s="17">
        <f t="shared" si="502"/>
        <v>2.5220018389597865E-3</v>
      </c>
    </row>
    <row r="504" spans="2:10" ht="15.75" customHeight="1" x14ac:dyDescent="0.25">
      <c r="B504" s="21">
        <f ca="1">IFERROR(__xludf.DUMMYFUNCTION("""COMPUTED_VALUE"""),45287.6666666666)</f>
        <v>45287.666666666599</v>
      </c>
      <c r="C504" s="22">
        <f ca="1">IFERROR(__xludf.DUMMYFUNCTION("""COMPUTED_VALUE"""),169.4)</f>
        <v>169.4</v>
      </c>
      <c r="D504" s="22">
        <v>93.66</v>
      </c>
      <c r="E504" s="23">
        <v>384.48</v>
      </c>
      <c r="G504" s="21">
        <f t="shared" ca="1" si="259"/>
        <v>45287.666666666599</v>
      </c>
      <c r="H504" s="19">
        <f t="shared" ref="H504:J504" ca="1" si="503">(C504/C503) - 1</f>
        <v>5.997980877724407E-3</v>
      </c>
      <c r="I504" s="19">
        <f t="shared" si="503"/>
        <v>8.8323998276604865E-3</v>
      </c>
      <c r="J504" s="17">
        <f t="shared" si="503"/>
        <v>7.5207672754906696E-3</v>
      </c>
    </row>
    <row r="505" spans="2:10" ht="15.75" customHeight="1" x14ac:dyDescent="0.25">
      <c r="B505" s="21">
        <f ca="1">IFERROR(__xludf.DUMMYFUNCTION("""COMPUTED_VALUE"""),45288.6666666666)</f>
        <v>45288.666666666599</v>
      </c>
      <c r="C505" s="22">
        <f ca="1">IFERROR(__xludf.DUMMYFUNCTION("""COMPUTED_VALUE"""),170.3)</f>
        <v>170.3</v>
      </c>
      <c r="D505" s="22">
        <v>93.64</v>
      </c>
      <c r="E505" s="23">
        <v>386.41</v>
      </c>
      <c r="G505" s="21">
        <f t="shared" ca="1" si="259"/>
        <v>45288.666666666599</v>
      </c>
      <c r="H505" s="19">
        <f t="shared" ref="H505:J505" ca="1" si="504">(C505/C504) - 1</f>
        <v>5.312868949232552E-3</v>
      </c>
      <c r="I505" s="19">
        <f t="shared" si="504"/>
        <v>-2.1353833013026957E-4</v>
      </c>
      <c r="J505" s="17">
        <f t="shared" si="504"/>
        <v>5.0197669579692406E-3</v>
      </c>
    </row>
    <row r="506" spans="2:10" ht="15.75" customHeight="1" x14ac:dyDescent="0.25">
      <c r="B506" s="21">
        <f ca="1">IFERROR(__xludf.DUMMYFUNCTION("""COMPUTED_VALUE"""),45289.6666666666)</f>
        <v>45289.666666666599</v>
      </c>
      <c r="C506" s="22">
        <f ca="1">IFERROR(__xludf.DUMMYFUNCTION("""COMPUTED_VALUE"""),170.1)</f>
        <v>170.1</v>
      </c>
      <c r="D506" s="22">
        <v>93.25</v>
      </c>
      <c r="E506" s="23">
        <v>385.77</v>
      </c>
      <c r="G506" s="21">
        <f t="shared" ca="1" si="259"/>
        <v>45289.666666666599</v>
      </c>
      <c r="H506" s="19">
        <f t="shared" ref="H506:J506" ca="1" si="505">(C506/C505) - 1</f>
        <v>-1.1743981209630938E-3</v>
      </c>
      <c r="I506" s="19">
        <f t="shared" si="505"/>
        <v>-4.1648868005126349E-3</v>
      </c>
      <c r="J506" s="17">
        <f t="shared" si="505"/>
        <v>-1.6562718356151196E-3</v>
      </c>
    </row>
    <row r="507" spans="2:10" ht="15.75" customHeight="1" x14ac:dyDescent="0.25">
      <c r="B507" s="21">
        <f ca="1">IFERROR(__xludf.DUMMYFUNCTION("""COMPUTED_VALUE"""),45293.6666666666)</f>
        <v>45293.666666666599</v>
      </c>
      <c r="C507" s="22">
        <f ca="1">IFERROR(__xludf.DUMMYFUNCTION("""COMPUTED_VALUE"""),172.08)</f>
        <v>172.08</v>
      </c>
      <c r="D507" s="22">
        <v>93.9</v>
      </c>
      <c r="E507" s="23">
        <v>388.3</v>
      </c>
      <c r="G507" s="21">
        <f t="shared" ca="1" si="259"/>
        <v>45293.666666666599</v>
      </c>
      <c r="H507" s="19">
        <f t="shared" ref="H507:J507" ca="1" si="506">(C507/C506) - 1</f>
        <v>1.1640211640211673E-2</v>
      </c>
      <c r="I507" s="19">
        <f t="shared" si="506"/>
        <v>6.9705093833780651E-3</v>
      </c>
      <c r="J507" s="17">
        <f t="shared" si="506"/>
        <v>6.558311947533646E-3</v>
      </c>
    </row>
    <row r="508" spans="2:10" ht="15.75" customHeight="1" x14ac:dyDescent="0.25">
      <c r="B508" s="21">
        <f ca="1">IFERROR(__xludf.DUMMYFUNCTION("""COMPUTED_VALUE"""),45294.6666666666)</f>
        <v>45294.666666666599</v>
      </c>
      <c r="C508" s="22">
        <f ca="1">IFERROR(__xludf.DUMMYFUNCTION("""COMPUTED_VALUE"""),171.33)</f>
        <v>171.33</v>
      </c>
      <c r="D508" s="22">
        <v>91.91</v>
      </c>
      <c r="E508" s="23">
        <v>381.79</v>
      </c>
      <c r="G508" s="21">
        <f t="shared" ca="1" si="259"/>
        <v>45294.666666666599</v>
      </c>
      <c r="H508" s="19">
        <f t="shared" ref="H508:J508" ca="1" si="507">(C508/C507) - 1</f>
        <v>-4.3584379358437841E-3</v>
      </c>
      <c r="I508" s="19">
        <f t="shared" si="507"/>
        <v>-2.119275825346123E-2</v>
      </c>
      <c r="J508" s="17">
        <f t="shared" si="507"/>
        <v>-1.6765387586917258E-2</v>
      </c>
    </row>
    <row r="509" spans="2:10" ht="15.75" customHeight="1" x14ac:dyDescent="0.25">
      <c r="B509" s="21">
        <f ca="1">IFERROR(__xludf.DUMMYFUNCTION("""COMPUTED_VALUE"""),45295.6666666666)</f>
        <v>45295.666666666599</v>
      </c>
      <c r="C509" s="22">
        <f ca="1">IFERROR(__xludf.DUMMYFUNCTION("""COMPUTED_VALUE"""),171.41)</f>
        <v>171.41</v>
      </c>
      <c r="D509" s="22">
        <v>92.15</v>
      </c>
      <c r="E509" s="23">
        <v>382.95</v>
      </c>
      <c r="G509" s="21">
        <f t="shared" ca="1" si="259"/>
        <v>45295.666666666599</v>
      </c>
      <c r="H509" s="19">
        <f t="shared" ref="H509:J509" ca="1" si="508">(C509/C508) - 1</f>
        <v>4.6693515438023248E-4</v>
      </c>
      <c r="I509" s="19">
        <f t="shared" si="508"/>
        <v>2.6112501360027185E-3</v>
      </c>
      <c r="J509" s="17">
        <f t="shared" si="508"/>
        <v>3.0383194950103221E-3</v>
      </c>
    </row>
    <row r="510" spans="2:10" ht="15.75" customHeight="1" x14ac:dyDescent="0.25">
      <c r="B510" s="21">
        <f ca="1">IFERROR(__xludf.DUMMYFUNCTION("""COMPUTED_VALUE"""),45296.6666666666)</f>
        <v>45296.666666666599</v>
      </c>
      <c r="C510" s="22">
        <f ca="1">IFERROR(__xludf.DUMMYFUNCTION("""COMPUTED_VALUE"""),172.27)</f>
        <v>172.27</v>
      </c>
      <c r="D510" s="22">
        <v>93.24</v>
      </c>
      <c r="E510" s="23">
        <v>386.44</v>
      </c>
      <c r="G510" s="21">
        <f t="shared" ca="1" si="259"/>
        <v>45296.666666666599</v>
      </c>
      <c r="H510" s="19">
        <f t="shared" ref="H510:J510" ca="1" si="509">(C510/C509) - 1</f>
        <v>5.01721019777146E-3</v>
      </c>
      <c r="I510" s="19">
        <f t="shared" si="509"/>
        <v>1.1828540423222789E-2</v>
      </c>
      <c r="J510" s="17">
        <f t="shared" si="509"/>
        <v>9.1134612873744469E-3</v>
      </c>
    </row>
    <row r="511" spans="2:10" ht="15.75" customHeight="1" x14ac:dyDescent="0.25">
      <c r="B511" s="21">
        <f ca="1">IFERROR(__xludf.DUMMYFUNCTION("""COMPUTED_VALUE"""),45299.6666666666)</f>
        <v>45299.666666666599</v>
      </c>
      <c r="C511" s="22">
        <f ca="1">IFERROR(__xludf.DUMMYFUNCTION("""COMPUTED_VALUE"""),172.02)</f>
        <v>172.02</v>
      </c>
      <c r="D511" s="22">
        <v>93.51</v>
      </c>
      <c r="E511" s="23">
        <v>388.86</v>
      </c>
      <c r="G511" s="21">
        <f t="shared" ca="1" si="259"/>
        <v>45299.666666666599</v>
      </c>
      <c r="H511" s="19">
        <f t="shared" ref="H511:J511" ca="1" si="510">(C511/C510) - 1</f>
        <v>-1.4512103093979878E-3</v>
      </c>
      <c r="I511" s="19">
        <f t="shared" si="510"/>
        <v>2.8957528957529455E-3</v>
      </c>
      <c r="J511" s="17">
        <f t="shared" si="510"/>
        <v>6.2622916882311142E-3</v>
      </c>
    </row>
    <row r="512" spans="2:10" ht="15.75" customHeight="1" x14ac:dyDescent="0.25">
      <c r="B512" s="21">
        <f ca="1">IFERROR(__xludf.DUMMYFUNCTION("""COMPUTED_VALUE"""),45300.6666666666)</f>
        <v>45300.666666666599</v>
      </c>
      <c r="C512" s="22">
        <f ca="1">IFERROR(__xludf.DUMMYFUNCTION("""COMPUTED_VALUE"""),170.66)</f>
        <v>170.66</v>
      </c>
      <c r="D512" s="22">
        <v>92.06</v>
      </c>
      <c r="E512" s="23">
        <v>383.74</v>
      </c>
      <c r="G512" s="21">
        <f t="shared" ca="1" si="259"/>
        <v>45300.666666666599</v>
      </c>
      <c r="H512" s="19">
        <f t="shared" ref="H512:J512" ca="1" si="511">(C512/C511) - 1</f>
        <v>-7.9060574351820234E-3</v>
      </c>
      <c r="I512" s="19">
        <f t="shared" si="511"/>
        <v>-1.550636295583363E-2</v>
      </c>
      <c r="J512" s="17">
        <f t="shared" si="511"/>
        <v>-1.3166692382862721E-2</v>
      </c>
    </row>
    <row r="513" spans="2:10" ht="15.75" customHeight="1" x14ac:dyDescent="0.25">
      <c r="B513" s="21">
        <f ca="1">IFERROR(__xludf.DUMMYFUNCTION("""COMPUTED_VALUE"""),45301.6666666666)</f>
        <v>45301.666666666599</v>
      </c>
      <c r="C513" s="22">
        <f ca="1">IFERROR(__xludf.DUMMYFUNCTION("""COMPUTED_VALUE"""),171.02)</f>
        <v>171.02</v>
      </c>
      <c r="D513" s="22">
        <v>91.48</v>
      </c>
      <c r="E513" s="23">
        <v>381.96</v>
      </c>
      <c r="G513" s="21">
        <f t="shared" ca="1" si="259"/>
        <v>45301.666666666599</v>
      </c>
      <c r="H513" s="19">
        <f t="shared" ref="H513:J513" ca="1" si="512">(C513/C512) - 1</f>
        <v>2.1094574006796929E-3</v>
      </c>
      <c r="I513" s="19">
        <f t="shared" si="512"/>
        <v>-6.3002389745817622E-3</v>
      </c>
      <c r="J513" s="17">
        <f t="shared" si="512"/>
        <v>-4.6385573565436156E-3</v>
      </c>
    </row>
    <row r="514" spans="2:10" ht="15.75" customHeight="1" x14ac:dyDescent="0.25">
      <c r="B514" s="21">
        <f ca="1">IFERROR(__xludf.DUMMYFUNCTION("""COMPUTED_VALUE"""),45302.6666666666)</f>
        <v>45302.666666666599</v>
      </c>
      <c r="C514" s="22">
        <f ca="1">IFERROR(__xludf.DUMMYFUNCTION("""COMPUTED_VALUE"""),170.3)</f>
        <v>170.3</v>
      </c>
      <c r="D514" s="22">
        <v>90.51</v>
      </c>
      <c r="E514" s="23">
        <v>379.75</v>
      </c>
      <c r="G514" s="21">
        <f t="shared" ca="1" si="259"/>
        <v>45302.666666666599</v>
      </c>
      <c r="H514" s="19">
        <f t="shared" ref="H514:J514" ca="1" si="513">(C514/C513) - 1</f>
        <v>-4.2100339141620813E-3</v>
      </c>
      <c r="I514" s="19">
        <f t="shared" si="513"/>
        <v>-1.0603410581547901E-2</v>
      </c>
      <c r="J514" s="17">
        <f t="shared" si="513"/>
        <v>-5.7859461723740457E-3</v>
      </c>
    </row>
    <row r="515" spans="2:10" ht="15.75" customHeight="1" x14ac:dyDescent="0.25">
      <c r="B515" s="21">
        <f ca="1">IFERROR(__xludf.DUMMYFUNCTION("""COMPUTED_VALUE"""),45303.6666666666)</f>
        <v>45303.666666666599</v>
      </c>
      <c r="C515" s="22">
        <f ca="1">IFERROR(__xludf.DUMMYFUNCTION("""COMPUTED_VALUE"""),169.05)</f>
        <v>169.05</v>
      </c>
      <c r="D515" s="22">
        <v>89.7</v>
      </c>
      <c r="E515" s="23">
        <v>377.75</v>
      </c>
      <c r="G515" s="21">
        <f t="shared" ca="1" si="259"/>
        <v>45303.666666666599</v>
      </c>
      <c r="H515" s="19">
        <f t="shared" ref="H515:J515" ca="1" si="514">(C515/C514) - 1</f>
        <v>-7.3399882560187812E-3</v>
      </c>
      <c r="I515" s="19">
        <f t="shared" si="514"/>
        <v>-8.9492873715611987E-3</v>
      </c>
      <c r="J515" s="17">
        <f t="shared" si="514"/>
        <v>-5.2666227781434927E-3</v>
      </c>
    </row>
    <row r="516" spans="2:10" ht="15.75" customHeight="1" x14ac:dyDescent="0.25">
      <c r="B516" s="21">
        <f ca="1">IFERROR(__xludf.DUMMYFUNCTION("""COMPUTED_VALUE"""),45307.6666666666)</f>
        <v>45307.666666666599</v>
      </c>
      <c r="C516" s="22">
        <f ca="1">IFERROR(__xludf.DUMMYFUNCTION("""COMPUTED_VALUE"""),167.99)</f>
        <v>167.99</v>
      </c>
      <c r="D516" s="22">
        <v>85.97</v>
      </c>
      <c r="E516" s="23">
        <v>380.45</v>
      </c>
      <c r="G516" s="21">
        <f t="shared" ref="G516:G758" ca="1" si="515">B516</f>
        <v>45307.666666666599</v>
      </c>
      <c r="H516" s="19">
        <f t="shared" ref="H516:J516" ca="1" si="516">(C516/C515) - 1</f>
        <v>-6.2703342206448243E-3</v>
      </c>
      <c r="I516" s="19">
        <f t="shared" si="516"/>
        <v>-4.1583054626532889E-2</v>
      </c>
      <c r="J516" s="17">
        <f t="shared" si="516"/>
        <v>7.1475843812045525E-3</v>
      </c>
    </row>
    <row r="517" spans="2:10" ht="15.75" customHeight="1" x14ac:dyDescent="0.25">
      <c r="B517" s="21">
        <f ca="1">IFERROR(__xludf.DUMMYFUNCTION("""COMPUTED_VALUE"""),45308.6666666666)</f>
        <v>45308.666666666599</v>
      </c>
      <c r="C517" s="22">
        <f ca="1">IFERROR(__xludf.DUMMYFUNCTION("""COMPUTED_VALUE"""),167.09)</f>
        <v>167.09</v>
      </c>
      <c r="D517" s="22">
        <v>84.41</v>
      </c>
      <c r="E517" s="23">
        <v>377.18</v>
      </c>
      <c r="G517" s="21">
        <f t="shared" ca="1" si="515"/>
        <v>45308.666666666599</v>
      </c>
      <c r="H517" s="19">
        <f t="shared" ref="H517:J517" ca="1" si="517">(C517/C516) - 1</f>
        <v>-5.3574617536757962E-3</v>
      </c>
      <c r="I517" s="19">
        <f t="shared" si="517"/>
        <v>-1.814586483657088E-2</v>
      </c>
      <c r="J517" s="17">
        <f t="shared" si="517"/>
        <v>-8.5950847680378306E-3</v>
      </c>
    </row>
    <row r="518" spans="2:10" ht="15.75" customHeight="1" x14ac:dyDescent="0.25">
      <c r="B518" s="21">
        <f ca="1">IFERROR(__xludf.DUMMYFUNCTION("""COMPUTED_VALUE"""),45309.6666666666)</f>
        <v>45309.666666666599</v>
      </c>
      <c r="C518" s="22">
        <f ca="1">IFERROR(__xludf.DUMMYFUNCTION("""COMPUTED_VALUE"""),167.42)</f>
        <v>167.42</v>
      </c>
      <c r="D518" s="22">
        <v>83.9</v>
      </c>
      <c r="E518" s="23">
        <v>376.91</v>
      </c>
      <c r="G518" s="21">
        <f t="shared" ca="1" si="515"/>
        <v>45309.666666666599</v>
      </c>
      <c r="H518" s="19">
        <f t="shared" ref="H518:J518" ca="1" si="518">(C518/C517) - 1</f>
        <v>1.9749835418036987E-3</v>
      </c>
      <c r="I518" s="19">
        <f t="shared" si="518"/>
        <v>-6.0419381589857935E-3</v>
      </c>
      <c r="J518" s="17">
        <f t="shared" si="518"/>
        <v>-7.158385916538057E-4</v>
      </c>
    </row>
    <row r="519" spans="2:10" ht="15.75" customHeight="1" x14ac:dyDescent="0.25">
      <c r="B519" s="21">
        <f ca="1">IFERROR(__xludf.DUMMYFUNCTION("""COMPUTED_VALUE"""),45310.6666666666)</f>
        <v>45310.666666666599</v>
      </c>
      <c r="C519" s="22">
        <f ca="1">IFERROR(__xludf.DUMMYFUNCTION("""COMPUTED_VALUE"""),170.31)</f>
        <v>170.31</v>
      </c>
      <c r="D519" s="22">
        <v>85.34</v>
      </c>
      <c r="E519" s="23">
        <v>382.2</v>
      </c>
      <c r="G519" s="21">
        <f t="shared" ca="1" si="515"/>
        <v>45310.666666666599</v>
      </c>
      <c r="H519" s="19">
        <f t="shared" ref="H519:J519" ca="1" si="519">(C519/C518) - 1</f>
        <v>1.7261975869071966E-2</v>
      </c>
      <c r="I519" s="19">
        <f t="shared" si="519"/>
        <v>1.7163289630512502E-2</v>
      </c>
      <c r="J519" s="17">
        <f t="shared" si="519"/>
        <v>1.403518081239552E-2</v>
      </c>
    </row>
    <row r="520" spans="2:10" ht="15.75" customHeight="1" x14ac:dyDescent="0.25">
      <c r="B520" s="21">
        <f ca="1">IFERROR(__xludf.DUMMYFUNCTION("""COMPUTED_VALUE"""),45313.6666666666)</f>
        <v>45313.666666666599</v>
      </c>
      <c r="C520" s="22">
        <f ca="1">IFERROR(__xludf.DUMMYFUNCTION("""COMPUTED_VALUE"""),170.11)</f>
        <v>170.11</v>
      </c>
      <c r="D520" s="22">
        <v>85.73</v>
      </c>
      <c r="E520" s="23">
        <v>385.96</v>
      </c>
      <c r="G520" s="21">
        <f t="shared" ca="1" si="515"/>
        <v>45313.666666666599</v>
      </c>
      <c r="H520" s="19">
        <f t="shared" ref="H520:J520" ca="1" si="520">(C520/C519) - 1</f>
        <v>-1.1743291644646936E-3</v>
      </c>
      <c r="I520" s="19">
        <f t="shared" si="520"/>
        <v>4.569955472228715E-3</v>
      </c>
      <c r="J520" s="17">
        <f t="shared" si="520"/>
        <v>9.8377812663525965E-3</v>
      </c>
    </row>
    <row r="521" spans="2:10" ht="15.75" customHeight="1" x14ac:dyDescent="0.25">
      <c r="B521" s="21">
        <f ca="1">IFERROR(__xludf.DUMMYFUNCTION("""COMPUTED_VALUE"""),45314.6666666666)</f>
        <v>45314.666666666599</v>
      </c>
      <c r="C521" s="22">
        <f ca="1">IFERROR(__xludf.DUMMYFUNCTION("""COMPUTED_VALUE"""),168.99)</f>
        <v>168.99</v>
      </c>
      <c r="D521" s="22">
        <v>86.74</v>
      </c>
      <c r="E521" s="23">
        <v>380.77</v>
      </c>
      <c r="G521" s="21">
        <f t="shared" ca="1" si="515"/>
        <v>45314.666666666599</v>
      </c>
      <c r="H521" s="19">
        <f t="shared" ref="H521:J521" ca="1" si="521">(C521/C520) - 1</f>
        <v>-6.5839750749515646E-3</v>
      </c>
      <c r="I521" s="19">
        <f t="shared" si="521"/>
        <v>1.1781173451533844E-2</v>
      </c>
      <c r="J521" s="17">
        <f t="shared" si="521"/>
        <v>-1.3446989325318626E-2</v>
      </c>
    </row>
    <row r="522" spans="2:10" ht="15.75" customHeight="1" x14ac:dyDescent="0.25">
      <c r="B522" s="21">
        <f ca="1">IFERROR(__xludf.DUMMYFUNCTION("""COMPUTED_VALUE"""),45315.6666666666)</f>
        <v>45315.666666666599</v>
      </c>
      <c r="C522" s="22">
        <f ca="1">IFERROR(__xludf.DUMMYFUNCTION("""COMPUTED_VALUE"""),170.5)</f>
        <v>170.5</v>
      </c>
      <c r="D522" s="22">
        <v>87.57</v>
      </c>
      <c r="E522" s="23">
        <v>379.4</v>
      </c>
      <c r="G522" s="21">
        <f t="shared" ca="1" si="515"/>
        <v>45315.666666666599</v>
      </c>
      <c r="H522" s="19">
        <f t="shared" ref="H522:J522" ca="1" si="522">(C522/C521) - 1</f>
        <v>8.9354399668619688E-3</v>
      </c>
      <c r="I522" s="19">
        <f t="shared" si="522"/>
        <v>9.5688263776803062E-3</v>
      </c>
      <c r="J522" s="17">
        <f t="shared" si="522"/>
        <v>-3.5979725293484588E-3</v>
      </c>
    </row>
    <row r="523" spans="2:10" ht="15.75" customHeight="1" x14ac:dyDescent="0.25">
      <c r="B523" s="21">
        <f ca="1">IFERROR(__xludf.DUMMYFUNCTION("""COMPUTED_VALUE"""),45316.6666666666)</f>
        <v>45316.666666666599</v>
      </c>
      <c r="C523" s="22">
        <f ca="1">IFERROR(__xludf.DUMMYFUNCTION("""COMPUTED_VALUE"""),172.94)</f>
        <v>172.94</v>
      </c>
      <c r="D523" s="22">
        <v>88.02</v>
      </c>
      <c r="E523" s="23">
        <v>382.7</v>
      </c>
      <c r="G523" s="21">
        <f t="shared" ca="1" si="515"/>
        <v>45316.666666666599</v>
      </c>
      <c r="H523" s="19">
        <f t="shared" ref="H523:J523" ca="1" si="523">(C523/C522) - 1</f>
        <v>1.4310850439882783E-2</v>
      </c>
      <c r="I523" s="19">
        <f t="shared" si="523"/>
        <v>5.1387461459404538E-3</v>
      </c>
      <c r="J523" s="17">
        <f t="shared" si="523"/>
        <v>8.6979441222982956E-3</v>
      </c>
    </row>
    <row r="524" spans="2:10" ht="15.75" customHeight="1" x14ac:dyDescent="0.25">
      <c r="B524" s="21">
        <f ca="1">IFERROR(__xludf.DUMMYFUNCTION("""COMPUTED_VALUE"""),45317.6666666666)</f>
        <v>45317.666666666599</v>
      </c>
      <c r="C524" s="22">
        <f ca="1">IFERROR(__xludf.DUMMYFUNCTION("""COMPUTED_VALUE"""),172.28)</f>
        <v>172.28</v>
      </c>
      <c r="D524" s="22">
        <v>87.73</v>
      </c>
      <c r="E524" s="23">
        <v>377.79</v>
      </c>
      <c r="G524" s="21">
        <f t="shared" ca="1" si="515"/>
        <v>45317.666666666599</v>
      </c>
      <c r="H524" s="19">
        <f t="shared" ref="H524:J524" ca="1" si="524">(C524/C523) - 1</f>
        <v>-3.8163524921938086E-3</v>
      </c>
      <c r="I524" s="19">
        <f t="shared" si="524"/>
        <v>-3.2947057486933939E-3</v>
      </c>
      <c r="J524" s="17">
        <f t="shared" si="524"/>
        <v>-1.2829892866474957E-2</v>
      </c>
    </row>
    <row r="525" spans="2:10" ht="15.75" customHeight="1" x14ac:dyDescent="0.25">
      <c r="B525" s="21">
        <f ca="1">IFERROR(__xludf.DUMMYFUNCTION("""COMPUTED_VALUE"""),45320.6666666666)</f>
        <v>45320.666666666599</v>
      </c>
      <c r="C525" s="22">
        <f ca="1">IFERROR(__xludf.DUMMYFUNCTION("""COMPUTED_VALUE"""),172.73)</f>
        <v>172.73</v>
      </c>
      <c r="D525" s="22">
        <v>87.62</v>
      </c>
      <c r="E525" s="23">
        <v>380.56</v>
      </c>
      <c r="G525" s="21">
        <f t="shared" ca="1" si="515"/>
        <v>45320.666666666599</v>
      </c>
      <c r="H525" s="19">
        <f t="shared" ref="H525:J525" ca="1" si="525">(C525/C524) - 1</f>
        <v>2.612026932899969E-3</v>
      </c>
      <c r="I525" s="19">
        <f t="shared" si="525"/>
        <v>-1.2538470306622251E-3</v>
      </c>
      <c r="J525" s="17">
        <f t="shared" si="525"/>
        <v>7.3321157256676095E-3</v>
      </c>
    </row>
    <row r="526" spans="2:10" ht="15.75" customHeight="1" x14ac:dyDescent="0.25">
      <c r="B526" s="21">
        <f ca="1">IFERROR(__xludf.DUMMYFUNCTION("""COMPUTED_VALUE"""),45321.6666666666)</f>
        <v>45321.666666666599</v>
      </c>
      <c r="C526" s="22">
        <f ca="1">IFERROR(__xludf.DUMMYFUNCTION("""COMPUTED_VALUE"""),176.27)</f>
        <v>176.27</v>
      </c>
      <c r="D526" s="22">
        <v>87.62</v>
      </c>
      <c r="E526" s="23">
        <v>386.87</v>
      </c>
      <c r="G526" s="21">
        <f t="shared" ca="1" si="515"/>
        <v>45321.666666666599</v>
      </c>
      <c r="H526" s="19">
        <f t="shared" ref="H526:J526" ca="1" si="526">(C526/C525) - 1</f>
        <v>2.049441324610668E-2</v>
      </c>
      <c r="I526" s="19">
        <f t="shared" si="526"/>
        <v>0</v>
      </c>
      <c r="J526" s="17">
        <f t="shared" si="526"/>
        <v>1.658082825310081E-2</v>
      </c>
    </row>
    <row r="527" spans="2:10" ht="15.75" customHeight="1" x14ac:dyDescent="0.25">
      <c r="B527" s="21">
        <f ca="1">IFERROR(__xludf.DUMMYFUNCTION("""COMPUTED_VALUE"""),45322.6666666666)</f>
        <v>45322.666666666599</v>
      </c>
      <c r="C527" s="22">
        <f ca="1">IFERROR(__xludf.DUMMYFUNCTION("""COMPUTED_VALUE"""),174.36)</f>
        <v>174.36</v>
      </c>
      <c r="D527" s="22">
        <v>87.24</v>
      </c>
      <c r="E527" s="23">
        <v>384.01</v>
      </c>
      <c r="G527" s="21">
        <f t="shared" ca="1" si="515"/>
        <v>45322.666666666599</v>
      </c>
      <c r="H527" s="19">
        <f t="shared" ref="H527:J527" ca="1" si="527">(C527/C526) - 1</f>
        <v>-1.0835649855335583E-2</v>
      </c>
      <c r="I527" s="19">
        <f t="shared" si="527"/>
        <v>-4.3369093814198401E-3</v>
      </c>
      <c r="J527" s="17">
        <f t="shared" si="527"/>
        <v>-7.3926642024453315E-3</v>
      </c>
    </row>
    <row r="528" spans="2:10" ht="15.75" customHeight="1" x14ac:dyDescent="0.25">
      <c r="B528" s="21">
        <f ca="1">IFERROR(__xludf.DUMMYFUNCTION("""COMPUTED_VALUE"""),45323.6666666666)</f>
        <v>45323.666666666599</v>
      </c>
      <c r="C528" s="22">
        <f ca="1">IFERROR(__xludf.DUMMYFUNCTION("""COMPUTED_VALUE"""),173.73)</f>
        <v>173.73</v>
      </c>
      <c r="D528" s="22">
        <v>86.82</v>
      </c>
      <c r="E528" s="23">
        <v>383.85</v>
      </c>
      <c r="G528" s="21">
        <f t="shared" ca="1" si="515"/>
        <v>45323.666666666599</v>
      </c>
      <c r="H528" s="19">
        <f t="shared" ref="H528:J528" ca="1" si="528">(C528/C527) - 1</f>
        <v>-3.613214039917545E-3</v>
      </c>
      <c r="I528" s="19">
        <f t="shared" si="528"/>
        <v>-4.8143053645116618E-3</v>
      </c>
      <c r="J528" s="17">
        <f t="shared" si="528"/>
        <v>-4.1665581625471848E-4</v>
      </c>
    </row>
    <row r="529" spans="2:10" ht="15.75" customHeight="1" x14ac:dyDescent="0.25">
      <c r="B529" s="21">
        <f ca="1">IFERROR(__xludf.DUMMYFUNCTION("""COMPUTED_VALUE"""),45324.6666666666)</f>
        <v>45324.666666666599</v>
      </c>
      <c r="C529" s="22">
        <f ca="1">IFERROR(__xludf.DUMMYFUNCTION("""COMPUTED_VALUE"""),174.73)</f>
        <v>174.73</v>
      </c>
      <c r="D529" s="22">
        <v>87.27</v>
      </c>
      <c r="E529" s="23">
        <v>387.86</v>
      </c>
      <c r="G529" s="21">
        <f t="shared" ca="1" si="515"/>
        <v>45324.666666666599</v>
      </c>
      <c r="H529" s="19">
        <f t="shared" ref="H529:J529" ca="1" si="529">(C529/C528) - 1</f>
        <v>5.7560582513094261E-3</v>
      </c>
      <c r="I529" s="19">
        <f t="shared" si="529"/>
        <v>5.1831375259157042E-3</v>
      </c>
      <c r="J529" s="17">
        <f t="shared" si="529"/>
        <v>1.044678911032948E-2</v>
      </c>
    </row>
    <row r="530" spans="2:10" ht="15.75" customHeight="1" x14ac:dyDescent="0.25">
      <c r="B530" s="21">
        <f ca="1">IFERROR(__xludf.DUMMYFUNCTION("""COMPUTED_VALUE"""),45327.6666666666)</f>
        <v>45327.666666666599</v>
      </c>
      <c r="C530" s="22">
        <f ca="1">IFERROR(__xludf.DUMMYFUNCTION("""COMPUTED_VALUE"""),174.5)</f>
        <v>174.5</v>
      </c>
      <c r="D530" s="22">
        <v>85.89</v>
      </c>
      <c r="E530" s="23">
        <v>383.02</v>
      </c>
      <c r="G530" s="21">
        <f t="shared" ca="1" si="515"/>
        <v>45327.666666666599</v>
      </c>
      <c r="H530" s="19">
        <f t="shared" ref="H530:J530" ca="1" si="530">(C530/C529) - 1</f>
        <v>-1.3163166027584383E-3</v>
      </c>
      <c r="I530" s="19">
        <f t="shared" si="530"/>
        <v>-1.5812994156067295E-2</v>
      </c>
      <c r="J530" s="17">
        <f t="shared" si="530"/>
        <v>-1.2478729438457292E-2</v>
      </c>
    </row>
    <row r="531" spans="2:10" ht="15.75" customHeight="1" x14ac:dyDescent="0.25">
      <c r="B531" s="21">
        <f ca="1">IFERROR(__xludf.DUMMYFUNCTION("""COMPUTED_VALUE"""),45328.6666666666)</f>
        <v>45328.666666666599</v>
      </c>
      <c r="C531" s="22">
        <f ca="1">IFERROR(__xludf.DUMMYFUNCTION("""COMPUTED_VALUE"""),175.1)</f>
        <v>175.1</v>
      </c>
      <c r="D531" s="22">
        <v>86.1</v>
      </c>
      <c r="E531" s="23">
        <v>384.99</v>
      </c>
      <c r="G531" s="21">
        <f t="shared" ca="1" si="515"/>
        <v>45328.666666666599</v>
      </c>
      <c r="H531" s="19">
        <f t="shared" ref="H531:J531" ca="1" si="531">(C531/C530) - 1</f>
        <v>3.4383954154726393E-3</v>
      </c>
      <c r="I531" s="19">
        <f t="shared" si="531"/>
        <v>2.4449877750609694E-3</v>
      </c>
      <c r="J531" s="17">
        <f t="shared" si="531"/>
        <v>5.1433345517206686E-3</v>
      </c>
    </row>
    <row r="532" spans="2:10" ht="15.75" customHeight="1" x14ac:dyDescent="0.25">
      <c r="B532" s="21">
        <f ca="1">IFERROR(__xludf.DUMMYFUNCTION("""COMPUTED_VALUE"""),45329.6666666666)</f>
        <v>45329.666666666599</v>
      </c>
      <c r="C532" s="22">
        <f ca="1">IFERROR(__xludf.DUMMYFUNCTION("""COMPUTED_VALUE"""),175.43)</f>
        <v>175.43</v>
      </c>
      <c r="D532" s="22">
        <v>86</v>
      </c>
      <c r="E532" s="23">
        <v>386.66</v>
      </c>
      <c r="G532" s="21">
        <f t="shared" ca="1" si="515"/>
        <v>45329.666666666599</v>
      </c>
      <c r="H532" s="19">
        <f t="shared" ref="H532:J532" ca="1" si="532">(C532/C531) - 1</f>
        <v>1.884637350085816E-3</v>
      </c>
      <c r="I532" s="19">
        <f t="shared" si="532"/>
        <v>-1.1614401858303092E-3</v>
      </c>
      <c r="J532" s="17">
        <f t="shared" si="532"/>
        <v>4.3377750071431631E-3</v>
      </c>
    </row>
    <row r="533" spans="2:10" ht="15.75" customHeight="1" x14ac:dyDescent="0.25">
      <c r="B533" s="21">
        <f ca="1">IFERROR(__xludf.DUMMYFUNCTION("""COMPUTED_VALUE"""),45330.6666666666)</f>
        <v>45330.666666666599</v>
      </c>
      <c r="C533" s="22">
        <f ca="1">IFERROR(__xludf.DUMMYFUNCTION("""COMPUTED_VALUE"""),174.8)</f>
        <v>174.8</v>
      </c>
      <c r="D533" s="22">
        <v>85.65</v>
      </c>
      <c r="E533" s="23">
        <v>385.04</v>
      </c>
      <c r="G533" s="21">
        <f t="shared" ca="1" si="515"/>
        <v>45330.666666666599</v>
      </c>
      <c r="H533" s="19">
        <f t="shared" ref="H533:J533" ca="1" si="533">(C533/C532) - 1</f>
        <v>-3.5911759676223731E-3</v>
      </c>
      <c r="I533" s="19">
        <f t="shared" si="533"/>
        <v>-4.0697674418603835E-3</v>
      </c>
      <c r="J533" s="17">
        <f t="shared" si="533"/>
        <v>-4.1897274090932912E-3</v>
      </c>
    </row>
    <row r="534" spans="2:10" ht="15.75" customHeight="1" x14ac:dyDescent="0.25">
      <c r="B534" s="21">
        <f ca="1">IFERROR(__xludf.DUMMYFUNCTION("""COMPUTED_VALUE"""),45331.6666666666)</f>
        <v>45331.666666666599</v>
      </c>
      <c r="C534" s="22">
        <f ca="1">IFERROR(__xludf.DUMMYFUNCTION("""COMPUTED_VALUE"""),175.01)</f>
        <v>175.01</v>
      </c>
      <c r="D534" s="22">
        <v>85.89</v>
      </c>
      <c r="E534" s="23">
        <v>384.26</v>
      </c>
      <c r="G534" s="21">
        <f t="shared" ca="1" si="515"/>
        <v>45331.666666666599</v>
      </c>
      <c r="H534" s="19">
        <f t="shared" ref="H534:J534" ca="1" si="534">(C534/C533) - 1</f>
        <v>1.2013729977116139E-3</v>
      </c>
      <c r="I534" s="19">
        <f t="shared" si="534"/>
        <v>2.8021015761821033E-3</v>
      </c>
      <c r="J534" s="17">
        <f t="shared" si="534"/>
        <v>-2.0257635570331001E-3</v>
      </c>
    </row>
    <row r="535" spans="2:10" ht="15.75" customHeight="1" x14ac:dyDescent="0.25">
      <c r="B535" s="21">
        <f ca="1">IFERROR(__xludf.DUMMYFUNCTION("""COMPUTED_VALUE"""),45334.6666666666)</f>
        <v>45334.666666666599</v>
      </c>
      <c r="C535" s="22">
        <f ca="1">IFERROR(__xludf.DUMMYFUNCTION("""COMPUTED_VALUE"""),175.79)</f>
        <v>175.79</v>
      </c>
      <c r="D535" s="22">
        <v>86.87</v>
      </c>
      <c r="E535" s="23">
        <v>392.64</v>
      </c>
      <c r="G535" s="21">
        <f t="shared" ca="1" si="515"/>
        <v>45334.666666666599</v>
      </c>
      <c r="H535" s="19">
        <f t="shared" ref="H535:J535" ca="1" si="535">(C535/C534) - 1</f>
        <v>4.4568881778184188E-3</v>
      </c>
      <c r="I535" s="19">
        <f t="shared" si="535"/>
        <v>1.140994295028519E-2</v>
      </c>
      <c r="J535" s="17">
        <f t="shared" si="535"/>
        <v>2.1808150731275733E-2</v>
      </c>
    </row>
    <row r="536" spans="2:10" ht="15.75" customHeight="1" x14ac:dyDescent="0.25">
      <c r="B536" s="21">
        <f ca="1">IFERROR(__xludf.DUMMYFUNCTION("""COMPUTED_VALUE"""),45335.6666666666)</f>
        <v>45335.666666666599</v>
      </c>
      <c r="C536" s="22">
        <f ca="1">IFERROR(__xludf.DUMMYFUNCTION("""COMPUTED_VALUE"""),174.26)</f>
        <v>174.26</v>
      </c>
      <c r="D536" s="22">
        <v>83.97</v>
      </c>
      <c r="E536" s="23">
        <v>378.75</v>
      </c>
      <c r="G536" s="21">
        <f t="shared" ca="1" si="515"/>
        <v>45335.666666666599</v>
      </c>
      <c r="H536" s="19">
        <f t="shared" ref="H536:J536" ca="1" si="536">(C536/C535) - 1</f>
        <v>-8.7035667557882057E-3</v>
      </c>
      <c r="I536" s="19">
        <f t="shared" si="536"/>
        <v>-3.3383216300218788E-2</v>
      </c>
      <c r="J536" s="17">
        <f t="shared" si="536"/>
        <v>-3.5375916870415636E-2</v>
      </c>
    </row>
    <row r="537" spans="2:10" ht="15.75" customHeight="1" x14ac:dyDescent="0.25">
      <c r="B537" s="21">
        <f ca="1">IFERROR(__xludf.DUMMYFUNCTION("""COMPUTED_VALUE"""),45336.6666666666)</f>
        <v>45336.666666666599</v>
      </c>
      <c r="C537" s="22">
        <f ca="1">IFERROR(__xludf.DUMMYFUNCTION("""COMPUTED_VALUE"""),176.03)</f>
        <v>176.03</v>
      </c>
      <c r="D537" s="22">
        <v>84</v>
      </c>
      <c r="E537" s="23">
        <v>378.04</v>
      </c>
      <c r="G537" s="21">
        <f t="shared" ca="1" si="515"/>
        <v>45336.666666666599</v>
      </c>
      <c r="H537" s="19">
        <f t="shared" ref="H537:J537" ca="1" si="537">(C537/C536) - 1</f>
        <v>1.0157236313554474E-2</v>
      </c>
      <c r="I537" s="19">
        <f t="shared" si="537"/>
        <v>3.5727045373357136E-4</v>
      </c>
      <c r="J537" s="17">
        <f t="shared" si="537"/>
        <v>-1.8745874587458022E-3</v>
      </c>
    </row>
    <row r="538" spans="2:10" ht="15.75" customHeight="1" x14ac:dyDescent="0.25">
      <c r="B538" s="21">
        <f ca="1">IFERROR(__xludf.DUMMYFUNCTION("""COMPUTED_VALUE"""),45337.6666666666)</f>
        <v>45337.666666666599</v>
      </c>
      <c r="C538" s="22">
        <f ca="1">IFERROR(__xludf.DUMMYFUNCTION("""COMPUTED_VALUE"""),179.87)</f>
        <v>179.87</v>
      </c>
      <c r="D538" s="22">
        <v>85.67</v>
      </c>
      <c r="E538" s="23">
        <v>385.42</v>
      </c>
      <c r="G538" s="21">
        <f t="shared" ca="1" si="515"/>
        <v>45337.666666666599</v>
      </c>
      <c r="H538" s="19">
        <f t="shared" ref="H538:J538" ca="1" si="538">(C538/C537) - 1</f>
        <v>2.1814463443731169E-2</v>
      </c>
      <c r="I538" s="19">
        <f t="shared" si="538"/>
        <v>1.9880952380952444E-2</v>
      </c>
      <c r="J538" s="17">
        <f t="shared" si="538"/>
        <v>1.9521743730822161E-2</v>
      </c>
    </row>
    <row r="539" spans="2:10" ht="15.75" customHeight="1" x14ac:dyDescent="0.25">
      <c r="B539" s="21">
        <f ca="1">IFERROR(__xludf.DUMMYFUNCTION("""COMPUTED_VALUE"""),45338.6666666666)</f>
        <v>45338.666666666599</v>
      </c>
      <c r="C539" s="22">
        <f ca="1">IFERROR(__xludf.DUMMYFUNCTION("""COMPUTED_VALUE"""),179.03)</f>
        <v>179.03</v>
      </c>
      <c r="D539" s="22">
        <v>86.5</v>
      </c>
      <c r="E539" s="23">
        <v>384.44</v>
      </c>
      <c r="G539" s="21">
        <f t="shared" ca="1" si="515"/>
        <v>45338.666666666599</v>
      </c>
      <c r="H539" s="19">
        <f t="shared" ref="H539:J539" ca="1" si="539">(C539/C538) - 1</f>
        <v>-4.6700394729527472E-3</v>
      </c>
      <c r="I539" s="19">
        <f t="shared" si="539"/>
        <v>9.6883389751372118E-3</v>
      </c>
      <c r="J539" s="17">
        <f t="shared" si="539"/>
        <v>-2.5426807119506289E-3</v>
      </c>
    </row>
    <row r="540" spans="2:10" ht="15.75" customHeight="1" x14ac:dyDescent="0.25">
      <c r="B540" s="21">
        <f ca="1">IFERROR(__xludf.DUMMYFUNCTION("""COMPUTED_VALUE"""),45342.6666666666)</f>
        <v>45342.666666666599</v>
      </c>
      <c r="C540" s="22">
        <f ca="1">IFERROR(__xludf.DUMMYFUNCTION("""COMPUTED_VALUE"""),179.73)</f>
        <v>179.73</v>
      </c>
      <c r="D540" s="22">
        <v>85.35</v>
      </c>
      <c r="E540" s="23">
        <v>384.52</v>
      </c>
      <c r="G540" s="21">
        <f t="shared" ca="1" si="515"/>
        <v>45342.666666666599</v>
      </c>
      <c r="H540" s="19">
        <f t="shared" ref="H540:J540" ca="1" si="540">(C540/C539) - 1</f>
        <v>3.9099592247109349E-3</v>
      </c>
      <c r="I540" s="19">
        <f t="shared" si="540"/>
        <v>-1.3294797687861348E-2</v>
      </c>
      <c r="J540" s="17">
        <f t="shared" si="540"/>
        <v>2.0809489127038283E-4</v>
      </c>
    </row>
    <row r="541" spans="2:10" ht="15.75" customHeight="1" x14ac:dyDescent="0.25">
      <c r="B541" s="21">
        <f ca="1">IFERROR(__xludf.DUMMYFUNCTION("""COMPUTED_VALUE"""),45343.6666666666)</f>
        <v>45343.666666666599</v>
      </c>
      <c r="C541" s="22">
        <f ca="1">IFERROR(__xludf.DUMMYFUNCTION("""COMPUTED_VALUE"""),180.9)</f>
        <v>180.9</v>
      </c>
      <c r="D541" s="22">
        <v>85.46</v>
      </c>
      <c r="E541" s="23">
        <v>388.27</v>
      </c>
      <c r="G541" s="21">
        <f t="shared" ca="1" si="515"/>
        <v>45343.666666666599</v>
      </c>
      <c r="H541" s="19">
        <f t="shared" ref="H541:J541" ca="1" si="541">(C541/C540) - 1</f>
        <v>6.5097646469705062E-3</v>
      </c>
      <c r="I541" s="19">
        <f t="shared" si="541"/>
        <v>1.2888107791446668E-3</v>
      </c>
      <c r="J541" s="17">
        <f t="shared" si="541"/>
        <v>9.7524185998127955E-3</v>
      </c>
    </row>
    <row r="542" spans="2:10" ht="15.75" customHeight="1" x14ac:dyDescent="0.25">
      <c r="B542" s="21">
        <f ca="1">IFERROR(__xludf.DUMMYFUNCTION("""COMPUTED_VALUE"""),45344.6666666666)</f>
        <v>45344.666666666599</v>
      </c>
      <c r="C542" s="22">
        <f ca="1">IFERROR(__xludf.DUMMYFUNCTION("""COMPUTED_VALUE"""),183.07)</f>
        <v>183.07</v>
      </c>
      <c r="D542" s="22">
        <v>85.85</v>
      </c>
      <c r="E542" s="23">
        <v>390.47</v>
      </c>
      <c r="G542" s="21">
        <f t="shared" ca="1" si="515"/>
        <v>45344.666666666599</v>
      </c>
      <c r="H542" s="19">
        <f t="shared" ref="H542:J542" ca="1" si="542">(C542/C541) - 1</f>
        <v>1.199557766721937E-2</v>
      </c>
      <c r="I542" s="19">
        <f t="shared" si="542"/>
        <v>4.5635384975426518E-3</v>
      </c>
      <c r="J542" s="17">
        <f t="shared" si="542"/>
        <v>5.6661601462901778E-3</v>
      </c>
    </row>
    <row r="543" spans="2:10" ht="15.75" customHeight="1" x14ac:dyDescent="0.25">
      <c r="B543" s="21">
        <f ca="1">IFERROR(__xludf.DUMMYFUNCTION("""COMPUTED_VALUE"""),45345.6666666666)</f>
        <v>45345.666666666599</v>
      </c>
      <c r="C543" s="22">
        <f ca="1">IFERROR(__xludf.DUMMYFUNCTION("""COMPUTED_VALUE"""),183.99)</f>
        <v>183.99</v>
      </c>
      <c r="D543" s="22">
        <v>86.55</v>
      </c>
      <c r="E543" s="23">
        <v>391.05</v>
      </c>
      <c r="G543" s="21">
        <f t="shared" ca="1" si="515"/>
        <v>45345.666666666599</v>
      </c>
      <c r="H543" s="19">
        <f t="shared" ref="H543:J543" ca="1" si="543">(C543/C542) - 1</f>
        <v>5.0254001201726073E-3</v>
      </c>
      <c r="I543" s="19">
        <f t="shared" si="543"/>
        <v>8.1537565521259125E-3</v>
      </c>
      <c r="J543" s="17">
        <f t="shared" si="543"/>
        <v>1.4853894025148584E-3</v>
      </c>
    </row>
    <row r="544" spans="2:10" ht="15.75" customHeight="1" x14ac:dyDescent="0.25">
      <c r="B544" s="21">
        <f ca="1">IFERROR(__xludf.DUMMYFUNCTION("""COMPUTED_VALUE"""),45348.6666666666)</f>
        <v>45348.666666666599</v>
      </c>
      <c r="C544" s="22">
        <f ca="1">IFERROR(__xludf.DUMMYFUNCTION("""COMPUTED_VALUE"""),183.36)</f>
        <v>183.36</v>
      </c>
      <c r="D544" s="22">
        <v>85.67</v>
      </c>
      <c r="E544" s="23">
        <v>390.22</v>
      </c>
      <c r="G544" s="21">
        <f t="shared" ca="1" si="515"/>
        <v>45348.666666666599</v>
      </c>
      <c r="H544" s="19">
        <f t="shared" ref="H544:J544" ca="1" si="544">(C544/C543) - 1</f>
        <v>-3.4240991358225337E-3</v>
      </c>
      <c r="I544" s="19">
        <f t="shared" si="544"/>
        <v>-1.0167533217793179E-2</v>
      </c>
      <c r="J544" s="17">
        <f t="shared" si="544"/>
        <v>-2.1224907300856355E-3</v>
      </c>
    </row>
    <row r="545" spans="2:10" ht="15.75" customHeight="1" x14ac:dyDescent="0.25">
      <c r="B545" s="21">
        <f ca="1">IFERROR(__xludf.DUMMYFUNCTION("""COMPUTED_VALUE"""),45349.6666666666)</f>
        <v>45349.666666666599</v>
      </c>
      <c r="C545" s="22">
        <f ca="1">IFERROR(__xludf.DUMMYFUNCTION("""COMPUTED_VALUE"""),183.45)</f>
        <v>183.45</v>
      </c>
      <c r="D545" s="22">
        <v>85.49</v>
      </c>
      <c r="E545" s="23">
        <v>390.81</v>
      </c>
      <c r="G545" s="21">
        <f t="shared" ca="1" si="515"/>
        <v>45349.666666666599</v>
      </c>
      <c r="H545" s="19">
        <f t="shared" ref="H545:J545" ca="1" si="545">(C545/C544) - 1</f>
        <v>4.9083769633484486E-4</v>
      </c>
      <c r="I545" s="19">
        <f t="shared" si="545"/>
        <v>-2.1010855608731838E-3</v>
      </c>
      <c r="J545" s="17">
        <f t="shared" si="545"/>
        <v>1.5119676080159739E-3</v>
      </c>
    </row>
    <row r="546" spans="2:10" ht="15.75" customHeight="1" x14ac:dyDescent="0.25">
      <c r="B546" s="21">
        <f ca="1">IFERROR(__xludf.DUMMYFUNCTION("""COMPUTED_VALUE"""),45350.6666666666)</f>
        <v>45350.666666666599</v>
      </c>
      <c r="C546" s="22">
        <f ca="1">IFERROR(__xludf.DUMMYFUNCTION("""COMPUTED_VALUE"""),184.38)</f>
        <v>184.38</v>
      </c>
      <c r="D546" s="22">
        <v>86.05</v>
      </c>
      <c r="E546" s="23">
        <v>393.18</v>
      </c>
      <c r="G546" s="21">
        <f t="shared" ca="1" si="515"/>
        <v>45350.666666666599</v>
      </c>
      <c r="H546" s="19">
        <f t="shared" ref="H546:J546" ca="1" si="546">(C546/C545) - 1</f>
        <v>5.0695012264923012E-3</v>
      </c>
      <c r="I546" s="19">
        <f t="shared" si="546"/>
        <v>6.5504737396187007E-3</v>
      </c>
      <c r="J546" s="17">
        <f t="shared" si="546"/>
        <v>6.0643279342902368E-3</v>
      </c>
    </row>
    <row r="547" spans="2:10" ht="15.75" customHeight="1" x14ac:dyDescent="0.25">
      <c r="B547" s="21">
        <f ca="1">IFERROR(__xludf.DUMMYFUNCTION("""COMPUTED_VALUE"""),45351.6666666666)</f>
        <v>45351.666666666599</v>
      </c>
      <c r="C547" s="22">
        <f ca="1">IFERROR(__xludf.DUMMYFUNCTION("""COMPUTED_VALUE"""),186.06)</f>
        <v>186.06</v>
      </c>
      <c r="D547" s="22">
        <v>86.04</v>
      </c>
      <c r="E547" s="23">
        <v>389.05</v>
      </c>
      <c r="G547" s="21">
        <f t="shared" ca="1" si="515"/>
        <v>45351.666666666599</v>
      </c>
      <c r="H547" s="19">
        <f t="shared" ref="H547:J547" ca="1" si="547">(C547/C546) - 1</f>
        <v>9.1116173120728838E-3</v>
      </c>
      <c r="I547" s="19">
        <f t="shared" si="547"/>
        <v>-1.162115049389012E-4</v>
      </c>
      <c r="J547" s="17">
        <f t="shared" si="547"/>
        <v>-1.0504094816623399E-2</v>
      </c>
    </row>
    <row r="548" spans="2:10" ht="15.75" customHeight="1" x14ac:dyDescent="0.25">
      <c r="B548" s="21">
        <f ca="1">IFERROR(__xludf.DUMMYFUNCTION("""COMPUTED_VALUE"""),45352.6666666666)</f>
        <v>45352.666666666599</v>
      </c>
      <c r="C548" s="22">
        <f ca="1">IFERROR(__xludf.DUMMYFUNCTION("""COMPUTED_VALUE"""),185.29)</f>
        <v>185.29</v>
      </c>
      <c r="D548" s="22">
        <v>86.48</v>
      </c>
      <c r="E548" s="23">
        <v>388.1</v>
      </c>
      <c r="G548" s="21">
        <f t="shared" ca="1" si="515"/>
        <v>45352.666666666599</v>
      </c>
      <c r="H548" s="19">
        <f t="shared" ref="H548:J548" ca="1" si="548">(C548/C547) - 1</f>
        <v>-4.1384499623777771E-3</v>
      </c>
      <c r="I548" s="19">
        <f t="shared" si="548"/>
        <v>5.113900511390046E-3</v>
      </c>
      <c r="J548" s="17">
        <f t="shared" si="548"/>
        <v>-2.4418455211412393E-3</v>
      </c>
    </row>
    <row r="549" spans="2:10" ht="15.75" customHeight="1" x14ac:dyDescent="0.25">
      <c r="B549" s="21">
        <f ca="1">IFERROR(__xludf.DUMMYFUNCTION("""COMPUTED_VALUE"""),45355.6666666666)</f>
        <v>45355.666666666599</v>
      </c>
      <c r="C549" s="22">
        <f ca="1">IFERROR(__xludf.DUMMYFUNCTION("""COMPUTED_VALUE"""),186.68)</f>
        <v>186.68</v>
      </c>
      <c r="D549" s="22">
        <v>90.04</v>
      </c>
      <c r="E549" s="23">
        <v>392.25</v>
      </c>
      <c r="G549" s="21">
        <f t="shared" ca="1" si="515"/>
        <v>45355.666666666599</v>
      </c>
      <c r="H549" s="19">
        <f t="shared" ref="H549:J549" ca="1" si="549">(C549/C548) - 1</f>
        <v>7.5017540072319644E-3</v>
      </c>
      <c r="I549" s="19">
        <f t="shared" si="549"/>
        <v>4.1165587419056404E-2</v>
      </c>
      <c r="J549" s="17">
        <f t="shared" si="549"/>
        <v>1.0693120329811734E-2</v>
      </c>
    </row>
    <row r="550" spans="2:10" ht="15.75" customHeight="1" x14ac:dyDescent="0.25">
      <c r="B550" s="21">
        <f ca="1">IFERROR(__xludf.DUMMYFUNCTION("""COMPUTED_VALUE"""),45356.6666666666)</f>
        <v>45356.666666666599</v>
      </c>
      <c r="C550" s="22">
        <f ca="1">IFERROR(__xludf.DUMMYFUNCTION("""COMPUTED_VALUE"""),188.55)</f>
        <v>188.55</v>
      </c>
      <c r="D550" s="22">
        <v>89.13</v>
      </c>
      <c r="E550" s="23">
        <v>390.91</v>
      </c>
      <c r="G550" s="21">
        <f t="shared" ca="1" si="515"/>
        <v>45356.666666666599</v>
      </c>
      <c r="H550" s="19">
        <f t="shared" ref="H550:J550" ca="1" si="550">(C550/C549) - 1</f>
        <v>1.0017141632740589E-2</v>
      </c>
      <c r="I550" s="19">
        <f t="shared" si="550"/>
        <v>-1.0106619280319973E-2</v>
      </c>
      <c r="J550" s="17">
        <f t="shared" si="550"/>
        <v>-3.4161886551943299E-3</v>
      </c>
    </row>
    <row r="551" spans="2:10" ht="15.75" customHeight="1" x14ac:dyDescent="0.25">
      <c r="B551" s="21">
        <f ca="1">IFERROR(__xludf.DUMMYFUNCTION("""COMPUTED_VALUE"""),45357.6666666666)</f>
        <v>45357.666666666599</v>
      </c>
      <c r="C551" s="22">
        <f ca="1">IFERROR(__xludf.DUMMYFUNCTION("""COMPUTED_VALUE"""),189.53)</f>
        <v>189.53</v>
      </c>
      <c r="D551" s="22">
        <v>85.66</v>
      </c>
      <c r="E551" s="23">
        <v>389.57</v>
      </c>
      <c r="G551" s="21">
        <f t="shared" ca="1" si="515"/>
        <v>45357.666666666599</v>
      </c>
      <c r="H551" s="19">
        <f t="shared" ref="H551:J551" ca="1" si="551">(C551/C550) - 1</f>
        <v>5.1975603288252348E-3</v>
      </c>
      <c r="I551" s="19">
        <f t="shared" si="551"/>
        <v>-3.8931897228766998E-2</v>
      </c>
      <c r="J551" s="17">
        <f t="shared" si="551"/>
        <v>-3.4278990048861591E-3</v>
      </c>
    </row>
    <row r="552" spans="2:10" ht="15.75" customHeight="1" x14ac:dyDescent="0.25">
      <c r="B552" s="21">
        <f ca="1">IFERROR(__xludf.DUMMYFUNCTION("""COMPUTED_VALUE"""),45358.6666666666)</f>
        <v>45358.666666666599</v>
      </c>
      <c r="C552" s="22">
        <f ca="1">IFERROR(__xludf.DUMMYFUNCTION("""COMPUTED_VALUE"""),187.87)</f>
        <v>187.87</v>
      </c>
      <c r="D552" s="22">
        <v>86.14</v>
      </c>
      <c r="E552" s="23">
        <v>388.43</v>
      </c>
      <c r="G552" s="21">
        <f t="shared" ca="1" si="515"/>
        <v>45358.666666666599</v>
      </c>
      <c r="H552" s="19">
        <f t="shared" ref="H552:J552" ca="1" si="552">(C552/C551) - 1</f>
        <v>-8.7585078879333089E-3</v>
      </c>
      <c r="I552" s="19">
        <f t="shared" si="552"/>
        <v>5.6035489143124728E-3</v>
      </c>
      <c r="J552" s="17">
        <f t="shared" si="552"/>
        <v>-2.9263033601150124E-3</v>
      </c>
    </row>
    <row r="553" spans="2:10" ht="15.75" customHeight="1" x14ac:dyDescent="0.25">
      <c r="B553" s="21">
        <f ca="1">IFERROR(__xludf.DUMMYFUNCTION("""COMPUTED_VALUE"""),45359.6666666666)</f>
        <v>45359.666666666599</v>
      </c>
      <c r="C553" s="22">
        <f ca="1">IFERROR(__xludf.DUMMYFUNCTION("""COMPUTED_VALUE"""),188.22)</f>
        <v>188.22</v>
      </c>
      <c r="D553" s="22">
        <v>87.04</v>
      </c>
      <c r="E553" s="23">
        <v>386.99</v>
      </c>
      <c r="G553" s="21">
        <f t="shared" ca="1" si="515"/>
        <v>45359.666666666599</v>
      </c>
      <c r="H553" s="19">
        <f t="shared" ref="H553:J553" ca="1" si="553">(C553/C552) - 1</f>
        <v>1.8629903656783853E-3</v>
      </c>
      <c r="I553" s="19">
        <f t="shared" si="553"/>
        <v>1.0448107731599876E-2</v>
      </c>
      <c r="J553" s="17">
        <f t="shared" si="553"/>
        <v>-3.707231676235101E-3</v>
      </c>
    </row>
    <row r="554" spans="2:10" ht="15.75" customHeight="1" x14ac:dyDescent="0.25">
      <c r="B554" s="21">
        <f ca="1">IFERROR(__xludf.DUMMYFUNCTION("""COMPUTED_VALUE"""),45362.6666666666)</f>
        <v>45362.666666666599</v>
      </c>
      <c r="C554" s="22">
        <f ca="1">IFERROR(__xludf.DUMMYFUNCTION("""COMPUTED_VALUE"""),188.29)</f>
        <v>188.29</v>
      </c>
      <c r="D554" s="22">
        <v>86.94</v>
      </c>
      <c r="E554" s="23">
        <v>386.16</v>
      </c>
      <c r="G554" s="21">
        <f t="shared" ca="1" si="515"/>
        <v>45362.666666666599</v>
      </c>
      <c r="H554" s="19">
        <f t="shared" ref="H554:J554" ca="1" si="554">(C554/C553) - 1</f>
        <v>3.7190521729879578E-4</v>
      </c>
      <c r="I554" s="19">
        <f t="shared" si="554"/>
        <v>-1.1488970588235947E-3</v>
      </c>
      <c r="J554" s="17">
        <f t="shared" si="554"/>
        <v>-2.1447582624873895E-3</v>
      </c>
    </row>
    <row r="555" spans="2:10" ht="15.75" customHeight="1" x14ac:dyDescent="0.25">
      <c r="B555" s="21">
        <f ca="1">IFERROR(__xludf.DUMMYFUNCTION("""COMPUTED_VALUE"""),45363.6666666666)</f>
        <v>45363.666666666599</v>
      </c>
      <c r="C555" s="22">
        <f ca="1">IFERROR(__xludf.DUMMYFUNCTION("""COMPUTED_VALUE"""),189.84)</f>
        <v>189.84</v>
      </c>
      <c r="D555" s="22">
        <v>87.05</v>
      </c>
      <c r="E555" s="23">
        <v>388.18</v>
      </c>
      <c r="G555" s="21">
        <f t="shared" ca="1" si="515"/>
        <v>45363.666666666599</v>
      </c>
      <c r="H555" s="19">
        <f t="shared" ref="H555:J555" ca="1" si="555">(C555/C554) - 1</f>
        <v>8.2319825800627466E-3</v>
      </c>
      <c r="I555" s="19">
        <f t="shared" si="555"/>
        <v>1.2652403956752156E-3</v>
      </c>
      <c r="J555" s="17">
        <f t="shared" si="555"/>
        <v>5.2309923347835241E-3</v>
      </c>
    </row>
    <row r="556" spans="2:10" ht="15.75" customHeight="1" x14ac:dyDescent="0.25">
      <c r="B556" s="21">
        <f ca="1">IFERROR(__xludf.DUMMYFUNCTION("""COMPUTED_VALUE"""),45364.6666666666)</f>
        <v>45364.666666666599</v>
      </c>
      <c r="C556" s="22">
        <f ca="1">IFERROR(__xludf.DUMMYFUNCTION("""COMPUTED_VALUE"""),191.38)</f>
        <v>191.38</v>
      </c>
      <c r="D556" s="22">
        <v>89.35</v>
      </c>
      <c r="E556" s="23">
        <v>392.31</v>
      </c>
      <c r="G556" s="21">
        <f t="shared" ca="1" si="515"/>
        <v>45364.666666666599</v>
      </c>
      <c r="H556" s="19">
        <f t="shared" ref="H556:J556" ca="1" si="556">(C556/C555) - 1</f>
        <v>8.1120943952801561E-3</v>
      </c>
      <c r="I556" s="19">
        <f t="shared" si="556"/>
        <v>2.642159678345779E-2</v>
      </c>
      <c r="J556" s="17">
        <f t="shared" si="556"/>
        <v>1.0639394095522725E-2</v>
      </c>
    </row>
    <row r="557" spans="2:10" ht="15.75" customHeight="1" x14ac:dyDescent="0.25">
      <c r="B557" s="21">
        <f ca="1">IFERROR(__xludf.DUMMYFUNCTION("""COMPUTED_VALUE"""),45365.6666666666)</f>
        <v>45365.666666666599</v>
      </c>
      <c r="C557" s="22">
        <f ca="1">IFERROR(__xludf.DUMMYFUNCTION("""COMPUTED_VALUE"""),187.97)</f>
        <v>187.97</v>
      </c>
      <c r="D557" s="22">
        <v>89.1</v>
      </c>
      <c r="E557" s="23">
        <v>388.61</v>
      </c>
      <c r="G557" s="21">
        <f t="shared" ca="1" si="515"/>
        <v>45365.666666666599</v>
      </c>
      <c r="H557" s="19">
        <f t="shared" ref="H557:J557" ca="1" si="557">(C557/C556) - 1</f>
        <v>-1.7817953809175391E-2</v>
      </c>
      <c r="I557" s="19">
        <f t="shared" si="557"/>
        <v>-2.7979854504756041E-3</v>
      </c>
      <c r="J557" s="17">
        <f t="shared" si="557"/>
        <v>-9.4313170706838978E-3</v>
      </c>
    </row>
    <row r="558" spans="2:10" ht="15.75" customHeight="1" x14ac:dyDescent="0.25">
      <c r="B558" s="21">
        <f ca="1">IFERROR(__xludf.DUMMYFUNCTION("""COMPUTED_VALUE"""),45366.6666666666)</f>
        <v>45366.666666666599</v>
      </c>
      <c r="C558" s="22">
        <f ca="1">IFERROR(__xludf.DUMMYFUNCTION("""COMPUTED_VALUE"""),190.3)</f>
        <v>190.3</v>
      </c>
      <c r="D558" s="22">
        <v>88.38</v>
      </c>
      <c r="E558" s="23">
        <v>387.21</v>
      </c>
      <c r="G558" s="21">
        <f t="shared" ca="1" si="515"/>
        <v>45366.666666666599</v>
      </c>
      <c r="H558" s="19">
        <f t="shared" ref="H558:J558" ca="1" si="558">(C558/C557) - 1</f>
        <v>1.239559504176202E-2</v>
      </c>
      <c r="I558" s="19">
        <f t="shared" si="558"/>
        <v>-8.0808080808080218E-3</v>
      </c>
      <c r="J558" s="17">
        <f t="shared" si="558"/>
        <v>-3.6025835670724371E-3</v>
      </c>
    </row>
    <row r="559" spans="2:10" ht="15.75" customHeight="1" x14ac:dyDescent="0.25">
      <c r="B559" s="21">
        <f ca="1">IFERROR(__xludf.DUMMYFUNCTION("""COMPUTED_VALUE"""),45369.6666666666)</f>
        <v>45369.666666666599</v>
      </c>
      <c r="C559" s="22">
        <f ca="1">IFERROR(__xludf.DUMMYFUNCTION("""COMPUTED_VALUE"""),192.66)</f>
        <v>192.66</v>
      </c>
      <c r="D559" s="22">
        <v>87.96</v>
      </c>
      <c r="E559" s="23">
        <v>384.37</v>
      </c>
      <c r="G559" s="21">
        <f t="shared" ca="1" si="515"/>
        <v>45369.666666666599</v>
      </c>
      <c r="H559" s="19">
        <f t="shared" ref="H559:J559" ca="1" si="559">(C559/C558) - 1</f>
        <v>1.2401471361008776E-2</v>
      </c>
      <c r="I559" s="19">
        <f t="shared" si="559"/>
        <v>-4.7522063815342852E-3</v>
      </c>
      <c r="J559" s="17">
        <f t="shared" si="559"/>
        <v>-7.3345213191807757E-3</v>
      </c>
    </row>
    <row r="560" spans="2:10" ht="15.75" customHeight="1" x14ac:dyDescent="0.25">
      <c r="B560" s="21">
        <f ca="1">IFERROR(__xludf.DUMMYFUNCTION("""COMPUTED_VALUE"""),45370.6666666666)</f>
        <v>45370.666666666599</v>
      </c>
      <c r="C560" s="22">
        <f ca="1">IFERROR(__xludf.DUMMYFUNCTION("""COMPUTED_VALUE"""),193.79)</f>
        <v>193.79</v>
      </c>
      <c r="D560" s="22">
        <v>88.42</v>
      </c>
      <c r="E560" s="23">
        <v>388.66</v>
      </c>
      <c r="G560" s="21">
        <f t="shared" ca="1" si="515"/>
        <v>45370.666666666599</v>
      </c>
      <c r="H560" s="19">
        <f t="shared" ref="H560:J560" ca="1" si="560">(C560/C559) - 1</f>
        <v>5.8652548531090698E-3</v>
      </c>
      <c r="I560" s="19">
        <f t="shared" si="560"/>
        <v>5.2296498408368475E-3</v>
      </c>
      <c r="J560" s="17">
        <f t="shared" si="560"/>
        <v>1.1161120795067259E-2</v>
      </c>
    </row>
    <row r="561" spans="2:10" ht="15.75" customHeight="1" x14ac:dyDescent="0.25">
      <c r="B561" s="21">
        <f ca="1">IFERROR(__xludf.DUMMYFUNCTION("""COMPUTED_VALUE"""),45371.6666666666)</f>
        <v>45371.666666666599</v>
      </c>
      <c r="C561" s="22">
        <f ca="1">IFERROR(__xludf.DUMMYFUNCTION("""COMPUTED_VALUE"""),196.33)</f>
        <v>196.33</v>
      </c>
      <c r="D561" s="22">
        <v>91.35</v>
      </c>
      <c r="E561" s="23">
        <v>396.47</v>
      </c>
      <c r="G561" s="21">
        <f t="shared" ca="1" si="515"/>
        <v>45371.666666666599</v>
      </c>
      <c r="H561" s="19">
        <f t="shared" ref="H561:J561" ca="1" si="561">(C561/C560) - 1</f>
        <v>1.3106971463956008E-2</v>
      </c>
      <c r="I561" s="19">
        <f t="shared" si="561"/>
        <v>3.3137299253562569E-2</v>
      </c>
      <c r="J561" s="17">
        <f t="shared" si="561"/>
        <v>2.0094684299902132E-2</v>
      </c>
    </row>
    <row r="562" spans="2:10" ht="15.75" customHeight="1" x14ac:dyDescent="0.25">
      <c r="B562" s="21">
        <f ca="1">IFERROR(__xludf.DUMMYFUNCTION("""COMPUTED_VALUE"""),45372.6666666666)</f>
        <v>45372.666666666599</v>
      </c>
      <c r="C562" s="22">
        <f ca="1">IFERROR(__xludf.DUMMYFUNCTION("""COMPUTED_VALUE"""),199.06)</f>
        <v>199.06</v>
      </c>
      <c r="D562" s="22">
        <v>93.4</v>
      </c>
      <c r="E562" s="23">
        <v>413.71</v>
      </c>
      <c r="G562" s="21">
        <f t="shared" ca="1" si="515"/>
        <v>45372.666666666599</v>
      </c>
      <c r="H562" s="19">
        <f t="shared" ref="H562:J562" ca="1" si="562">(C562/C561) - 1</f>
        <v>1.3905159680130286E-2</v>
      </c>
      <c r="I562" s="19">
        <f t="shared" si="562"/>
        <v>2.2441160372195013E-2</v>
      </c>
      <c r="J562" s="17">
        <f t="shared" si="562"/>
        <v>4.3483744041163064E-2</v>
      </c>
    </row>
    <row r="563" spans="2:10" ht="15.75" customHeight="1" x14ac:dyDescent="0.25">
      <c r="B563" s="21">
        <f ca="1">IFERROR(__xludf.DUMMYFUNCTION("""COMPUTED_VALUE"""),45373.6666666666)</f>
        <v>45373.666666666599</v>
      </c>
      <c r="C563" s="22">
        <f ca="1">IFERROR(__xludf.DUMMYFUNCTION("""COMPUTED_VALUE"""),196.62)</f>
        <v>196.62</v>
      </c>
      <c r="D563" s="22">
        <v>91.95</v>
      </c>
      <c r="E563" s="23">
        <v>406.82</v>
      </c>
      <c r="G563" s="21">
        <f t="shared" ca="1" si="515"/>
        <v>45373.666666666599</v>
      </c>
      <c r="H563" s="19">
        <f t="shared" ref="H563:J563" ca="1" si="563">(C563/C562) - 1</f>
        <v>-1.2257610770621929E-2</v>
      </c>
      <c r="I563" s="19">
        <f t="shared" si="563"/>
        <v>-1.5524625267665959E-2</v>
      </c>
      <c r="J563" s="17">
        <f t="shared" si="563"/>
        <v>-1.6654178047424528E-2</v>
      </c>
    </row>
    <row r="564" spans="2:10" ht="15.75" customHeight="1" x14ac:dyDescent="0.25">
      <c r="B564" s="21">
        <f ca="1">IFERROR(__xludf.DUMMYFUNCTION("""COMPUTED_VALUE"""),45376.6666666666)</f>
        <v>45376.666666666599</v>
      </c>
      <c r="C564" s="22">
        <f ca="1">IFERROR(__xludf.DUMMYFUNCTION("""COMPUTED_VALUE"""),194.82)</f>
        <v>194.82</v>
      </c>
      <c r="D564" s="22">
        <v>91.14</v>
      </c>
      <c r="E564" s="23">
        <v>404.94</v>
      </c>
      <c r="G564" s="21">
        <f t="shared" ca="1" si="515"/>
        <v>45376.666666666599</v>
      </c>
      <c r="H564" s="19">
        <f t="shared" ref="H564:J564" ca="1" si="564">(C564/C563) - 1</f>
        <v>-9.1547146780592836E-3</v>
      </c>
      <c r="I564" s="19">
        <f t="shared" si="564"/>
        <v>-8.809135399673762E-3</v>
      </c>
      <c r="J564" s="17">
        <f t="shared" si="564"/>
        <v>-4.6212083968339979E-3</v>
      </c>
    </row>
    <row r="565" spans="2:10" ht="15.75" customHeight="1" x14ac:dyDescent="0.25">
      <c r="B565" s="21">
        <f ca="1">IFERROR(__xludf.DUMMYFUNCTION("""COMPUTED_VALUE"""),45377.6666666666)</f>
        <v>45377.666666666599</v>
      </c>
      <c r="C565" s="22">
        <f ca="1">IFERROR(__xludf.DUMMYFUNCTION("""COMPUTED_VALUE"""),195.73)</f>
        <v>195.73</v>
      </c>
      <c r="D565" s="22">
        <v>91.28</v>
      </c>
      <c r="E565" s="23">
        <v>406.18</v>
      </c>
      <c r="G565" s="21">
        <f t="shared" ca="1" si="515"/>
        <v>45377.666666666599</v>
      </c>
      <c r="H565" s="19">
        <f t="shared" ref="H565:J565" ca="1" si="565">(C565/C564) - 1</f>
        <v>4.6709783389795589E-3</v>
      </c>
      <c r="I565" s="19">
        <f t="shared" si="565"/>
        <v>1.536098310291889E-3</v>
      </c>
      <c r="J565" s="17">
        <f t="shared" si="565"/>
        <v>3.0621820516620879E-3</v>
      </c>
    </row>
    <row r="566" spans="2:10" ht="15.75" customHeight="1" x14ac:dyDescent="0.25">
      <c r="B566" s="21">
        <f ca="1">IFERROR(__xludf.DUMMYFUNCTION("""COMPUTED_VALUE"""),45378.6666666666)</f>
        <v>45378.666666666599</v>
      </c>
      <c r="C566" s="22">
        <f ca="1">IFERROR(__xludf.DUMMYFUNCTION("""COMPUTED_VALUE"""),199.52)</f>
        <v>199.52</v>
      </c>
      <c r="D566" s="22">
        <v>93.5</v>
      </c>
      <c r="E566" s="23">
        <v>415.25</v>
      </c>
      <c r="G566" s="21">
        <f t="shared" ca="1" si="515"/>
        <v>45378.666666666599</v>
      </c>
      <c r="H566" s="19">
        <f t="shared" ref="H566:J566" ca="1" si="566">(C566/C565) - 1</f>
        <v>1.9363408777397506E-2</v>
      </c>
      <c r="I566" s="19">
        <f t="shared" si="566"/>
        <v>2.4320771253286688E-2</v>
      </c>
      <c r="J566" s="17">
        <f t="shared" si="566"/>
        <v>2.2330001477177674E-2</v>
      </c>
    </row>
    <row r="567" spans="2:10" ht="15.75" customHeight="1" x14ac:dyDescent="0.25">
      <c r="B567" s="21">
        <f ca="1">IFERROR(__xludf.DUMMYFUNCTION("""COMPUTED_VALUE"""),45379.6666666666)</f>
        <v>45379.666666666599</v>
      </c>
      <c r="C567" s="22">
        <f ca="1">IFERROR(__xludf.DUMMYFUNCTION("""COMPUTED_VALUE"""),200.3)</f>
        <v>200.3</v>
      </c>
      <c r="D567" s="22">
        <v>94.16</v>
      </c>
      <c r="E567" s="23">
        <v>417.69</v>
      </c>
      <c r="G567" s="21">
        <f t="shared" ca="1" si="515"/>
        <v>45379.666666666599</v>
      </c>
      <c r="H567" s="19">
        <f t="shared" ref="H567:J567" ca="1" si="567">(C567/C566) - 1</f>
        <v>3.9093825180434028E-3</v>
      </c>
      <c r="I567" s="19">
        <f t="shared" si="567"/>
        <v>7.058823529411784E-3</v>
      </c>
      <c r="J567" s="17">
        <f t="shared" si="567"/>
        <v>5.8759783263093723E-3</v>
      </c>
    </row>
    <row r="568" spans="2:10" ht="15.75" customHeight="1" x14ac:dyDescent="0.25">
      <c r="B568" s="21">
        <f ca="1">IFERROR(__xludf.DUMMYFUNCTION("""COMPUTED_VALUE"""),45383.6666666666)</f>
        <v>45383.666666666599</v>
      </c>
      <c r="C568" s="22">
        <f ca="1">IFERROR(__xludf.DUMMYFUNCTION("""COMPUTED_VALUE"""),198.94)</f>
        <v>198.94</v>
      </c>
      <c r="D568" s="22">
        <v>93.53</v>
      </c>
      <c r="E568" s="23">
        <v>413.51</v>
      </c>
      <c r="G568" s="21">
        <f t="shared" ca="1" si="515"/>
        <v>45383.666666666599</v>
      </c>
      <c r="H568" s="19">
        <f t="shared" ref="H568:J568" ca="1" si="568">(C568/C567) - 1</f>
        <v>-6.7898152770844433E-3</v>
      </c>
      <c r="I568" s="19">
        <f t="shared" si="568"/>
        <v>-6.6907391673746153E-3</v>
      </c>
      <c r="J568" s="17">
        <f t="shared" si="568"/>
        <v>-1.0007421772127656E-2</v>
      </c>
    </row>
    <row r="569" spans="2:10" ht="15.75" customHeight="1" x14ac:dyDescent="0.25">
      <c r="B569" s="21">
        <f ca="1">IFERROR(__xludf.DUMMYFUNCTION("""COMPUTED_VALUE"""),45384.6666666666)</f>
        <v>45384.666666666599</v>
      </c>
      <c r="C569" s="22">
        <f ca="1">IFERROR(__xludf.DUMMYFUNCTION("""COMPUTED_VALUE"""),198.86)</f>
        <v>198.86</v>
      </c>
      <c r="D569" s="22">
        <v>92.71</v>
      </c>
      <c r="E569" s="23">
        <v>410.15</v>
      </c>
      <c r="G569" s="21">
        <f t="shared" ca="1" si="515"/>
        <v>45384.666666666599</v>
      </c>
      <c r="H569" s="19">
        <f t="shared" ref="H569:J569" ca="1" si="569">(C569/C568) - 1</f>
        <v>-4.0213129586796903E-4</v>
      </c>
      <c r="I569" s="19">
        <f t="shared" si="569"/>
        <v>-8.7672404576072394E-3</v>
      </c>
      <c r="J569" s="17">
        <f t="shared" si="569"/>
        <v>-8.125559236777824E-3</v>
      </c>
    </row>
    <row r="570" spans="2:10" ht="15.75" customHeight="1" x14ac:dyDescent="0.25">
      <c r="B570" s="21">
        <f ca="1">IFERROR(__xludf.DUMMYFUNCTION("""COMPUTED_VALUE"""),45385.6666666666)</f>
        <v>45385.666666666599</v>
      </c>
      <c r="C570" s="22">
        <f ca="1">IFERROR(__xludf.DUMMYFUNCTION("""COMPUTED_VALUE"""),198.3)</f>
        <v>198.3</v>
      </c>
      <c r="D570" s="22">
        <v>93</v>
      </c>
      <c r="E570" s="23">
        <v>414</v>
      </c>
      <c r="G570" s="21">
        <f t="shared" ca="1" si="515"/>
        <v>45385.666666666599</v>
      </c>
      <c r="H570" s="19">
        <f t="shared" ref="H570:J570" ca="1" si="570">(C570/C569) - 1</f>
        <v>-2.8160514935130498E-3</v>
      </c>
      <c r="I570" s="19">
        <f t="shared" si="570"/>
        <v>3.1280336533276998E-3</v>
      </c>
      <c r="J570" s="17">
        <f t="shared" si="570"/>
        <v>9.3868097037670406E-3</v>
      </c>
    </row>
    <row r="571" spans="2:10" ht="15.75" customHeight="1" x14ac:dyDescent="0.25">
      <c r="B571" s="21">
        <f ca="1">IFERROR(__xludf.DUMMYFUNCTION("""COMPUTED_VALUE"""),45386.6666666666)</f>
        <v>45386.666666666599</v>
      </c>
      <c r="C571" s="22">
        <f ca="1">IFERROR(__xludf.DUMMYFUNCTION("""COMPUTED_VALUE"""),195.65)</f>
        <v>195.65</v>
      </c>
      <c r="D571" s="22">
        <v>92.28</v>
      </c>
      <c r="E571" s="23">
        <v>406.25</v>
      </c>
      <c r="G571" s="21">
        <f t="shared" ca="1" si="515"/>
        <v>45386.666666666599</v>
      </c>
      <c r="H571" s="19">
        <f t="shared" ref="H571:J571" ca="1" si="571">(C571/C570) - 1</f>
        <v>-1.3363590519415047E-2</v>
      </c>
      <c r="I571" s="19">
        <f t="shared" si="571"/>
        <v>-7.7419354838709209E-3</v>
      </c>
      <c r="J571" s="17">
        <f t="shared" si="571"/>
        <v>-1.8719806763284996E-2</v>
      </c>
    </row>
    <row r="572" spans="2:10" ht="15.75" customHeight="1" x14ac:dyDescent="0.25">
      <c r="B572" s="21">
        <f ca="1">IFERROR(__xludf.DUMMYFUNCTION("""COMPUTED_VALUE"""),45387.6666666666)</f>
        <v>45387.666666666599</v>
      </c>
      <c r="C572" s="22">
        <f ca="1">IFERROR(__xludf.DUMMYFUNCTION("""COMPUTED_VALUE"""),197.45)</f>
        <v>197.45</v>
      </c>
      <c r="D572" s="22">
        <v>92.47</v>
      </c>
      <c r="E572" s="23">
        <v>408.07</v>
      </c>
      <c r="G572" s="21">
        <f t="shared" ca="1" si="515"/>
        <v>45387.666666666599</v>
      </c>
      <c r="H572" s="19">
        <f t="shared" ref="H572:J572" ca="1" si="572">(C572/C571) - 1</f>
        <v>9.2001022233578755E-3</v>
      </c>
      <c r="I572" s="19">
        <f t="shared" si="572"/>
        <v>2.0589510186388438E-3</v>
      </c>
      <c r="J572" s="17">
        <f t="shared" si="572"/>
        <v>4.4800000000000395E-3</v>
      </c>
    </row>
    <row r="573" spans="2:10" ht="15.75" customHeight="1" x14ac:dyDescent="0.25">
      <c r="B573" s="21">
        <f ca="1">IFERROR(__xludf.DUMMYFUNCTION("""COMPUTED_VALUE"""),45390.6666666666)</f>
        <v>45390.666666666599</v>
      </c>
      <c r="C573" s="22">
        <f ca="1">IFERROR(__xludf.DUMMYFUNCTION("""COMPUTED_VALUE"""),198.48)</f>
        <v>198.48</v>
      </c>
      <c r="D573" s="22">
        <v>93.21</v>
      </c>
      <c r="E573" s="23">
        <v>410.54</v>
      </c>
      <c r="G573" s="21">
        <f t="shared" ca="1" si="515"/>
        <v>45390.666666666599</v>
      </c>
      <c r="H573" s="19">
        <f t="shared" ref="H573:J573" ca="1" si="573">(C573/C572) - 1</f>
        <v>5.2165105089896358E-3</v>
      </c>
      <c r="I573" s="19">
        <f t="shared" si="573"/>
        <v>8.0025954363576179E-3</v>
      </c>
      <c r="J573" s="17">
        <f t="shared" si="573"/>
        <v>6.0528830837847103E-3</v>
      </c>
    </row>
    <row r="574" spans="2:10" ht="15.75" customHeight="1" x14ac:dyDescent="0.25">
      <c r="B574" s="21">
        <f ca="1">IFERROR(__xludf.DUMMYFUNCTION("""COMPUTED_VALUE"""),45391.6666666666)</f>
        <v>45391.666666666599</v>
      </c>
      <c r="C574" s="22">
        <f ca="1">IFERROR(__xludf.DUMMYFUNCTION("""COMPUTED_VALUE"""),197.15)</f>
        <v>197.15</v>
      </c>
      <c r="D574" s="22">
        <v>94.08</v>
      </c>
      <c r="E574" s="23">
        <v>410.71</v>
      </c>
      <c r="G574" s="21">
        <f t="shared" ca="1" si="515"/>
        <v>45391.666666666599</v>
      </c>
      <c r="H574" s="19">
        <f t="shared" ref="H574:J574" ca="1" si="574">(C574/C573) - 1</f>
        <v>-6.7009270455460346E-3</v>
      </c>
      <c r="I574" s="19">
        <f t="shared" si="574"/>
        <v>9.3337624718379253E-3</v>
      </c>
      <c r="J574" s="17">
        <f t="shared" si="574"/>
        <v>4.1408876114368276E-4</v>
      </c>
    </row>
    <row r="575" spans="2:10" ht="15.75" customHeight="1" x14ac:dyDescent="0.25">
      <c r="B575" s="21">
        <f ca="1">IFERROR(__xludf.DUMMYFUNCTION("""COMPUTED_VALUE"""),45392.6666666666)</f>
        <v>45392.666666666599</v>
      </c>
      <c r="C575" s="22">
        <f ca="1">IFERROR(__xludf.DUMMYFUNCTION("""COMPUTED_VALUE"""),195.47)</f>
        <v>195.47</v>
      </c>
      <c r="D575" s="22">
        <v>91.65</v>
      </c>
      <c r="E575" s="23">
        <v>400.76</v>
      </c>
      <c r="G575" s="21">
        <f t="shared" ca="1" si="515"/>
        <v>45392.666666666599</v>
      </c>
      <c r="H575" s="19">
        <f t="shared" ref="H575:J575" ca="1" si="575">(C575/C574) - 1</f>
        <v>-8.5214303829571625E-3</v>
      </c>
      <c r="I575" s="19">
        <f t="shared" si="575"/>
        <v>-2.5829081632652962E-2</v>
      </c>
      <c r="J575" s="17">
        <f t="shared" si="575"/>
        <v>-2.4226339753110393E-2</v>
      </c>
    </row>
    <row r="576" spans="2:10" ht="15.75" customHeight="1" x14ac:dyDescent="0.25">
      <c r="B576" s="21">
        <f ca="1">IFERROR(__xludf.DUMMYFUNCTION("""COMPUTED_VALUE"""),45393.6666666666)</f>
        <v>45393.666666666599</v>
      </c>
      <c r="C576" s="22">
        <f ca="1">IFERROR(__xludf.DUMMYFUNCTION("""COMPUTED_VALUE"""),195.43)</f>
        <v>195.43</v>
      </c>
      <c r="D576" s="22">
        <v>86.84</v>
      </c>
      <c r="E576" s="23">
        <v>397.48</v>
      </c>
      <c r="G576" s="21">
        <f t="shared" ca="1" si="515"/>
        <v>45393.666666666599</v>
      </c>
      <c r="H576" s="19">
        <f t="shared" ref="H576:J576" ca="1" si="576">(C576/C575) - 1</f>
        <v>-2.0463498235023803E-4</v>
      </c>
      <c r="I576" s="19">
        <f t="shared" si="576"/>
        <v>-5.2482269503546175E-2</v>
      </c>
      <c r="J576" s="17">
        <f t="shared" si="576"/>
        <v>-8.1844495458628375E-3</v>
      </c>
    </row>
    <row r="577" spans="2:10" ht="15.75" customHeight="1" x14ac:dyDescent="0.25">
      <c r="B577" s="21">
        <f ca="1">IFERROR(__xludf.DUMMYFUNCTION("""COMPUTED_VALUE"""),45394.6666666666)</f>
        <v>45394.666666666599</v>
      </c>
      <c r="C577" s="22">
        <f ca="1">IFERROR(__xludf.DUMMYFUNCTION("""COMPUTED_VALUE"""),182.79)</f>
        <v>182.79</v>
      </c>
      <c r="D577" s="22">
        <v>86.19</v>
      </c>
      <c r="E577" s="23">
        <v>389.49</v>
      </c>
      <c r="G577" s="21">
        <f t="shared" ca="1" si="515"/>
        <v>45394.666666666599</v>
      </c>
      <c r="H577" s="19">
        <f t="shared" ref="H577:J577" ca="1" si="577">(C577/C576) - 1</f>
        <v>-6.4677889781507569E-2</v>
      </c>
      <c r="I577" s="19">
        <f t="shared" si="577"/>
        <v>-7.4850299401197917E-3</v>
      </c>
      <c r="J577" s="17">
        <f t="shared" si="577"/>
        <v>-2.0101640334104887E-2</v>
      </c>
    </row>
    <row r="578" spans="2:10" ht="15.75" customHeight="1" x14ac:dyDescent="0.25">
      <c r="B578" s="21">
        <f ca="1">IFERROR(__xludf.DUMMYFUNCTION("""COMPUTED_VALUE"""),45397.6666666666)</f>
        <v>45397.666666666599</v>
      </c>
      <c r="C578" s="22">
        <f ca="1">IFERROR(__xludf.DUMMYFUNCTION("""COMPUTED_VALUE"""),182.89)</f>
        <v>182.89</v>
      </c>
      <c r="D578" s="22">
        <v>86.99</v>
      </c>
      <c r="E578" s="23">
        <v>400.88</v>
      </c>
      <c r="G578" s="21">
        <f t="shared" ca="1" si="515"/>
        <v>45397.666666666599</v>
      </c>
      <c r="H578" s="19">
        <f t="shared" ref="H578:J578" ca="1" si="578">(C578/C577) - 1</f>
        <v>5.4707587942437463E-4</v>
      </c>
      <c r="I578" s="19">
        <f t="shared" si="578"/>
        <v>9.2818192365702323E-3</v>
      </c>
      <c r="J578" s="17">
        <f t="shared" si="578"/>
        <v>2.9243369534519559E-2</v>
      </c>
    </row>
    <row r="579" spans="2:10" ht="15.75" customHeight="1" x14ac:dyDescent="0.25">
      <c r="B579" s="21">
        <f ca="1">IFERROR(__xludf.DUMMYFUNCTION("""COMPUTED_VALUE"""),45398.6666666666)</f>
        <v>45398.666666666599</v>
      </c>
      <c r="C579" s="22">
        <f ca="1">IFERROR(__xludf.DUMMYFUNCTION("""COMPUTED_VALUE"""),180.8)</f>
        <v>180.8</v>
      </c>
      <c r="D579" s="22">
        <v>89.14</v>
      </c>
      <c r="E579" s="23">
        <v>396.86</v>
      </c>
      <c r="G579" s="21">
        <f t="shared" ca="1" si="515"/>
        <v>45398.666666666599</v>
      </c>
      <c r="H579" s="19">
        <f t="shared" ref="H579:J579" ca="1" si="579">(C579/C578) - 1</f>
        <v>-1.1427634096998096E-2</v>
      </c>
      <c r="I579" s="19">
        <f t="shared" si="579"/>
        <v>2.4715484538452737E-2</v>
      </c>
      <c r="J579" s="17">
        <f t="shared" si="579"/>
        <v>-1.0027938535222436E-2</v>
      </c>
    </row>
    <row r="580" spans="2:10" ht="15.75" customHeight="1" x14ac:dyDescent="0.25">
      <c r="B580" s="21">
        <f ca="1">IFERROR(__xludf.DUMMYFUNCTION("""COMPUTED_VALUE"""),45399.6666666666)</f>
        <v>45399.666666666599</v>
      </c>
      <c r="C580" s="22">
        <f ca="1">IFERROR(__xludf.DUMMYFUNCTION("""COMPUTED_VALUE"""),180.08)</f>
        <v>180.08</v>
      </c>
      <c r="D580" s="22">
        <v>90.08</v>
      </c>
      <c r="E580" s="23">
        <v>403.91</v>
      </c>
      <c r="G580" s="21">
        <f t="shared" ca="1" si="515"/>
        <v>45399.666666666599</v>
      </c>
      <c r="H580" s="19">
        <f t="shared" ref="H580:J580" ca="1" si="580">(C580/C579) - 1</f>
        <v>-3.9823008849557695E-3</v>
      </c>
      <c r="I580" s="19">
        <f t="shared" si="580"/>
        <v>1.0545209782364839E-2</v>
      </c>
      <c r="J580" s="17">
        <f t="shared" si="580"/>
        <v>1.7764450939877996E-2</v>
      </c>
    </row>
    <row r="581" spans="2:10" ht="15.75" customHeight="1" x14ac:dyDescent="0.25">
      <c r="B581" s="21">
        <f ca="1">IFERROR(__xludf.DUMMYFUNCTION("""COMPUTED_VALUE"""),45400.6666666666)</f>
        <v>45400.666666666599</v>
      </c>
      <c r="C581" s="22">
        <f ca="1">IFERROR(__xludf.DUMMYFUNCTION("""COMPUTED_VALUE"""),181.25)</f>
        <v>181.25</v>
      </c>
      <c r="D581" s="22">
        <v>90.26</v>
      </c>
      <c r="E581" s="23">
        <v>403.11</v>
      </c>
      <c r="G581" s="21">
        <f t="shared" ca="1" si="515"/>
        <v>45400.666666666599</v>
      </c>
      <c r="H581" s="19">
        <f t="shared" ref="H581:J581" ca="1" si="581">(C581/C580) - 1</f>
        <v>6.4971123944912446E-3</v>
      </c>
      <c r="I581" s="19">
        <f t="shared" si="581"/>
        <v>1.998223801065846E-3</v>
      </c>
      <c r="J581" s="17">
        <f t="shared" si="581"/>
        <v>-1.9806392513184168E-3</v>
      </c>
    </row>
    <row r="582" spans="2:10" ht="15.75" customHeight="1" x14ac:dyDescent="0.25">
      <c r="B582" s="21">
        <f ca="1">IFERROR(__xludf.DUMMYFUNCTION("""COMPUTED_VALUE"""),45401.6666666666)</f>
        <v>45401.666666666599</v>
      </c>
      <c r="C582" s="22">
        <f ca="1">IFERROR(__xludf.DUMMYFUNCTION("""COMPUTED_VALUE"""),185.8)</f>
        <v>185.8</v>
      </c>
      <c r="D582" s="22">
        <v>90.66</v>
      </c>
      <c r="E582" s="23">
        <v>404</v>
      </c>
      <c r="G582" s="21">
        <f t="shared" ca="1" si="515"/>
        <v>45401.666666666599</v>
      </c>
      <c r="H582" s="19">
        <f t="shared" ref="H582:J582" ca="1" si="582">(C582/C581) - 1</f>
        <v>2.5103448275862084E-2</v>
      </c>
      <c r="I582" s="19">
        <f t="shared" si="582"/>
        <v>4.4316419233325632E-3</v>
      </c>
      <c r="J582" s="17">
        <f t="shared" si="582"/>
        <v>2.2078340899505111E-3</v>
      </c>
    </row>
    <row r="583" spans="2:10" ht="15.75" customHeight="1" x14ac:dyDescent="0.25">
      <c r="B583" s="21">
        <f ca="1">IFERROR(__xludf.DUMMYFUNCTION("""COMPUTED_VALUE"""),45404.6666666666)</f>
        <v>45404.666666666599</v>
      </c>
      <c r="C583" s="22">
        <f ca="1">IFERROR(__xludf.DUMMYFUNCTION("""COMPUTED_VALUE"""),189.41)</f>
        <v>189.41</v>
      </c>
      <c r="D583" s="22">
        <v>92.09</v>
      </c>
      <c r="E583" s="23">
        <v>417.35</v>
      </c>
      <c r="G583" s="21">
        <f t="shared" ca="1" si="515"/>
        <v>45404.666666666599</v>
      </c>
      <c r="H583" s="19">
        <f t="shared" ref="H583:J583" ca="1" si="583">(C583/C582) - 1</f>
        <v>1.9429494079655552E-2</v>
      </c>
      <c r="I583" s="19">
        <f t="shared" si="583"/>
        <v>1.577321861901626E-2</v>
      </c>
      <c r="J583" s="17">
        <f t="shared" si="583"/>
        <v>3.3044554455445629E-2</v>
      </c>
    </row>
    <row r="584" spans="2:10" ht="15.75" customHeight="1" x14ac:dyDescent="0.25">
      <c r="B584" s="21">
        <f ca="1">IFERROR(__xludf.DUMMYFUNCTION("""COMPUTED_VALUE"""),45405.6666666666)</f>
        <v>45405.666666666599</v>
      </c>
      <c r="C584" s="22">
        <f ca="1">IFERROR(__xludf.DUMMYFUNCTION("""COMPUTED_VALUE"""),192.14)</f>
        <v>192.14</v>
      </c>
      <c r="D584" s="22">
        <v>93.76</v>
      </c>
      <c r="E584" s="23">
        <v>424</v>
      </c>
      <c r="G584" s="21">
        <f t="shared" ca="1" si="515"/>
        <v>45405.666666666599</v>
      </c>
      <c r="H584" s="19">
        <f t="shared" ref="H584:J584" ca="1" si="584">(C584/C583) - 1</f>
        <v>1.4413177762525597E-2</v>
      </c>
      <c r="I584" s="19">
        <f t="shared" si="584"/>
        <v>1.8134433706157083E-2</v>
      </c>
      <c r="J584" s="17">
        <f t="shared" si="584"/>
        <v>1.5933868455732636E-2</v>
      </c>
    </row>
    <row r="585" spans="2:10" ht="15.75" customHeight="1" x14ac:dyDescent="0.25">
      <c r="B585" s="21">
        <f ca="1">IFERROR(__xludf.DUMMYFUNCTION("""COMPUTED_VALUE"""),45406.6666666666)</f>
        <v>45406.666666666599</v>
      </c>
      <c r="C585" s="22">
        <f ca="1">IFERROR(__xludf.DUMMYFUNCTION("""COMPUTED_VALUE"""),193.08)</f>
        <v>193.08</v>
      </c>
      <c r="D585" s="22">
        <v>93.85</v>
      </c>
      <c r="E585" s="23">
        <v>423.04</v>
      </c>
      <c r="G585" s="21">
        <f t="shared" ca="1" si="515"/>
        <v>45406.666666666599</v>
      </c>
      <c r="H585" s="19">
        <f t="shared" ref="H585:J585" ca="1" si="585">(C585/C584) - 1</f>
        <v>4.8922660560009046E-3</v>
      </c>
      <c r="I585" s="19">
        <f t="shared" si="585"/>
        <v>9.5989761092130088E-4</v>
      </c>
      <c r="J585" s="17">
        <f t="shared" si="585"/>
        <v>-2.2641509433961593E-3</v>
      </c>
    </row>
    <row r="586" spans="2:10" ht="15.75" customHeight="1" x14ac:dyDescent="0.25">
      <c r="B586" s="21">
        <f ca="1">IFERROR(__xludf.DUMMYFUNCTION("""COMPUTED_VALUE"""),45407.6666666666)</f>
        <v>45407.666666666599</v>
      </c>
      <c r="C586" s="22">
        <f ca="1">IFERROR(__xludf.DUMMYFUNCTION("""COMPUTED_VALUE"""),193.37)</f>
        <v>193.37</v>
      </c>
      <c r="D586" s="22">
        <v>92.56</v>
      </c>
      <c r="E586" s="23">
        <v>420.05</v>
      </c>
      <c r="G586" s="21">
        <f t="shared" ca="1" si="515"/>
        <v>45407.666666666599</v>
      </c>
      <c r="H586" s="19">
        <f t="shared" ref="H586:J586" ca="1" si="586">(C586/C585) - 1</f>
        <v>1.5019680961259052E-3</v>
      </c>
      <c r="I586" s="19">
        <f t="shared" si="586"/>
        <v>-1.3745338305807042E-2</v>
      </c>
      <c r="J586" s="17">
        <f t="shared" si="586"/>
        <v>-7.0678895612708015E-3</v>
      </c>
    </row>
    <row r="587" spans="2:10" ht="15.75" customHeight="1" x14ac:dyDescent="0.25">
      <c r="B587" s="21">
        <f ca="1">IFERROR(__xludf.DUMMYFUNCTION("""COMPUTED_VALUE"""),45408.6666666666)</f>
        <v>45408.666666666599</v>
      </c>
      <c r="C587" s="22">
        <f ca="1">IFERROR(__xludf.DUMMYFUNCTION("""COMPUTED_VALUE"""),193.49)</f>
        <v>193.49</v>
      </c>
      <c r="D587" s="22">
        <v>92.83</v>
      </c>
      <c r="E587" s="23">
        <v>427.57</v>
      </c>
      <c r="G587" s="21">
        <f t="shared" ca="1" si="515"/>
        <v>45408.666666666599</v>
      </c>
      <c r="H587" s="19">
        <f t="shared" ref="H587:J587" ca="1" si="587">(C587/C586) - 1</f>
        <v>6.2057196049036811E-4</v>
      </c>
      <c r="I587" s="19">
        <f t="shared" si="587"/>
        <v>2.9170267934313099E-3</v>
      </c>
      <c r="J587" s="17">
        <f t="shared" si="587"/>
        <v>1.7902630639209605E-2</v>
      </c>
    </row>
    <row r="588" spans="2:10" ht="15.75" customHeight="1" x14ac:dyDescent="0.25">
      <c r="B588" s="21">
        <f ca="1">IFERROR(__xludf.DUMMYFUNCTION("""COMPUTED_VALUE"""),45411.6666666666)</f>
        <v>45411.666666666599</v>
      </c>
      <c r="C588" s="22">
        <f ca="1">IFERROR(__xludf.DUMMYFUNCTION("""COMPUTED_VALUE"""),193.28)</f>
        <v>193.28</v>
      </c>
      <c r="D588" s="22">
        <v>92.11</v>
      </c>
      <c r="E588" s="23">
        <v>430.81</v>
      </c>
      <c r="G588" s="21">
        <f t="shared" ca="1" si="515"/>
        <v>45411.666666666599</v>
      </c>
      <c r="H588" s="19">
        <f t="shared" ref="H588:J588" ca="1" si="588">(C588/C587) - 1</f>
        <v>-1.0853274071012109E-3</v>
      </c>
      <c r="I588" s="19">
        <f t="shared" si="588"/>
        <v>-7.7561133254335779E-3</v>
      </c>
      <c r="J588" s="17">
        <f t="shared" si="588"/>
        <v>7.5777065743620753E-3</v>
      </c>
    </row>
    <row r="589" spans="2:10" ht="15.75" customHeight="1" x14ac:dyDescent="0.25">
      <c r="B589" s="21">
        <f ca="1">IFERROR(__xludf.DUMMYFUNCTION("""COMPUTED_VALUE"""),45412.6666666666)</f>
        <v>45412.666666666599</v>
      </c>
      <c r="C589" s="22">
        <f ca="1">IFERROR(__xludf.DUMMYFUNCTION("""COMPUTED_VALUE"""),191.74)</f>
        <v>191.74</v>
      </c>
      <c r="D589" s="22">
        <v>90.84</v>
      </c>
      <c r="E589" s="23">
        <v>426.71</v>
      </c>
      <c r="G589" s="21">
        <f t="shared" ca="1" si="515"/>
        <v>45412.666666666599</v>
      </c>
      <c r="H589" s="19">
        <f t="shared" ref="H589:J589" ca="1" si="589">(C589/C588) - 1</f>
        <v>-7.9677152317880751E-3</v>
      </c>
      <c r="I589" s="19">
        <f t="shared" si="589"/>
        <v>-1.3787862338508261E-2</v>
      </c>
      <c r="J589" s="17">
        <f t="shared" si="589"/>
        <v>-9.5169564309092181E-3</v>
      </c>
    </row>
    <row r="590" spans="2:10" ht="15.75" customHeight="1" x14ac:dyDescent="0.25">
      <c r="B590" s="21">
        <f ca="1">IFERROR(__xludf.DUMMYFUNCTION("""COMPUTED_VALUE"""),45413.6666666666)</f>
        <v>45413.666666666599</v>
      </c>
      <c r="C590" s="22">
        <f ca="1">IFERROR(__xludf.DUMMYFUNCTION("""COMPUTED_VALUE"""),191.86)</f>
        <v>191.86</v>
      </c>
      <c r="D590" s="22">
        <v>91.54</v>
      </c>
      <c r="E590" s="23">
        <v>426.95</v>
      </c>
      <c r="G590" s="21">
        <f t="shared" ca="1" si="515"/>
        <v>45413.666666666599</v>
      </c>
      <c r="H590" s="19">
        <f t="shared" ref="H590:J590" ca="1" si="590">(C590/C589) - 1</f>
        <v>6.2584750182548277E-4</v>
      </c>
      <c r="I590" s="19">
        <f t="shared" si="590"/>
        <v>7.705856450902715E-3</v>
      </c>
      <c r="J590" s="17">
        <f t="shared" si="590"/>
        <v>5.6244287689533046E-4</v>
      </c>
    </row>
    <row r="591" spans="2:10" ht="15.75" customHeight="1" x14ac:dyDescent="0.25">
      <c r="B591" s="21">
        <f ca="1">IFERROR(__xludf.DUMMYFUNCTION("""COMPUTED_VALUE"""),45414.6666666666)</f>
        <v>45414.666666666599</v>
      </c>
      <c r="C591" s="22">
        <f ca="1">IFERROR(__xludf.DUMMYFUNCTION("""COMPUTED_VALUE"""),191.66)</f>
        <v>191.66</v>
      </c>
      <c r="D591" s="22">
        <v>92.65</v>
      </c>
      <c r="E591" s="23">
        <v>432.57</v>
      </c>
      <c r="G591" s="21">
        <f t="shared" ca="1" si="515"/>
        <v>45414.666666666599</v>
      </c>
      <c r="H591" s="19">
        <f t="shared" ref="H591:J591" ca="1" si="591">(C591/C590) - 1</f>
        <v>-1.0424267695194889E-3</v>
      </c>
      <c r="I591" s="19">
        <f t="shared" si="591"/>
        <v>1.2125846624426506E-2</v>
      </c>
      <c r="J591" s="17">
        <f t="shared" si="591"/>
        <v>1.3163133856423537E-2</v>
      </c>
    </row>
    <row r="592" spans="2:10" ht="15.75" customHeight="1" x14ac:dyDescent="0.25">
      <c r="B592" s="21">
        <f ca="1">IFERROR(__xludf.DUMMYFUNCTION("""COMPUTED_VALUE"""),45415.6666666666)</f>
        <v>45415.666666666599</v>
      </c>
      <c r="C592" s="22">
        <f ca="1">IFERROR(__xludf.DUMMYFUNCTION("""COMPUTED_VALUE"""),190.51)</f>
        <v>190.51</v>
      </c>
      <c r="D592" s="22">
        <v>93.64</v>
      </c>
      <c r="E592" s="23">
        <v>438.18</v>
      </c>
      <c r="G592" s="21">
        <f t="shared" ca="1" si="515"/>
        <v>45415.666666666599</v>
      </c>
      <c r="H592" s="19">
        <f t="shared" ref="H592:J592" ca="1" si="592">(C592/C591) - 1</f>
        <v>-6.0002087029114026E-3</v>
      </c>
      <c r="I592" s="19">
        <f t="shared" si="592"/>
        <v>1.0685375067458036E-2</v>
      </c>
      <c r="J592" s="17">
        <f t="shared" si="592"/>
        <v>1.2968999237117806E-2</v>
      </c>
    </row>
    <row r="593" spans="2:10" ht="15.75" customHeight="1" x14ac:dyDescent="0.25">
      <c r="B593" s="21">
        <f ca="1">IFERROR(__xludf.DUMMYFUNCTION("""COMPUTED_VALUE"""),45418.6666666666)</f>
        <v>45418.666666666599</v>
      </c>
      <c r="C593" s="22">
        <f ca="1">IFERROR(__xludf.DUMMYFUNCTION("""COMPUTED_VALUE"""),192)</f>
        <v>192</v>
      </c>
      <c r="D593" s="22">
        <v>94.79</v>
      </c>
      <c r="E593" s="23">
        <v>443.67</v>
      </c>
      <c r="G593" s="21">
        <f t="shared" ca="1" si="515"/>
        <v>45418.666666666599</v>
      </c>
      <c r="H593" s="19">
        <f t="shared" ref="H593:J593" ca="1" si="593">(C593/C592) - 1</f>
        <v>7.8211117526638674E-3</v>
      </c>
      <c r="I593" s="19">
        <f t="shared" si="593"/>
        <v>1.22810764630501E-2</v>
      </c>
      <c r="J593" s="17">
        <f t="shared" si="593"/>
        <v>1.2529097631110542E-2</v>
      </c>
    </row>
    <row r="594" spans="2:10" ht="15.75" customHeight="1" x14ac:dyDescent="0.25">
      <c r="B594" s="21">
        <f ca="1">IFERROR(__xludf.DUMMYFUNCTION("""COMPUTED_VALUE"""),45419.6666666666)</f>
        <v>45419.666666666599</v>
      </c>
      <c r="C594" s="22">
        <f ca="1">IFERROR(__xludf.DUMMYFUNCTION("""COMPUTED_VALUE"""),191.75)</f>
        <v>191.75</v>
      </c>
      <c r="D594" s="22">
        <v>95.79</v>
      </c>
      <c r="E594" s="23">
        <v>443.8</v>
      </c>
      <c r="G594" s="21">
        <f t="shared" ca="1" si="515"/>
        <v>45419.666666666599</v>
      </c>
      <c r="H594" s="19">
        <f t="shared" ref="H594:J594" ca="1" si="594">(C594/C593) - 1</f>
        <v>-1.3020833333333703E-3</v>
      </c>
      <c r="I594" s="19">
        <f t="shared" si="594"/>
        <v>1.0549636037556764E-2</v>
      </c>
      <c r="J594" s="17">
        <f t="shared" si="594"/>
        <v>2.9301057091979388E-4</v>
      </c>
    </row>
    <row r="595" spans="2:10" ht="15.75" customHeight="1" x14ac:dyDescent="0.25">
      <c r="B595" s="21">
        <f ca="1">IFERROR(__xludf.DUMMYFUNCTION("""COMPUTED_VALUE"""),45420.6666666666)</f>
        <v>45420.666666666599</v>
      </c>
      <c r="C595" s="22">
        <f ca="1">IFERROR(__xludf.DUMMYFUNCTION("""COMPUTED_VALUE"""),195.65)</f>
        <v>195.65</v>
      </c>
      <c r="D595" s="22">
        <v>95.64</v>
      </c>
      <c r="E595" s="23">
        <v>446.95</v>
      </c>
      <c r="G595" s="21">
        <f t="shared" ca="1" si="515"/>
        <v>45420.666666666599</v>
      </c>
      <c r="H595" s="19">
        <f t="shared" ref="H595:J595" ca="1" si="595">(C595/C594) - 1</f>
        <v>2.0338983050847581E-2</v>
      </c>
      <c r="I595" s="19">
        <f t="shared" si="595"/>
        <v>-1.5659254619481144E-3</v>
      </c>
      <c r="J595" s="17">
        <f t="shared" si="595"/>
        <v>7.0977917981072114E-3</v>
      </c>
    </row>
    <row r="596" spans="2:10" ht="15.75" customHeight="1" x14ac:dyDescent="0.25">
      <c r="B596" s="21">
        <f ca="1">IFERROR(__xludf.DUMMYFUNCTION("""COMPUTED_VALUE"""),45421.6666666666)</f>
        <v>45421.666666666599</v>
      </c>
      <c r="C596" s="22">
        <f ca="1">IFERROR(__xludf.DUMMYFUNCTION("""COMPUTED_VALUE"""),197.5)</f>
        <v>197.5</v>
      </c>
      <c r="D596" s="22">
        <v>98.11</v>
      </c>
      <c r="E596" s="23">
        <v>455.56</v>
      </c>
      <c r="G596" s="21">
        <f t="shared" ca="1" si="515"/>
        <v>45421.666666666599</v>
      </c>
      <c r="H596" s="19">
        <f t="shared" ref="H596:J596" ca="1" si="596">(C596/C595) - 1</f>
        <v>9.455660618451267E-3</v>
      </c>
      <c r="I596" s="19">
        <f t="shared" si="596"/>
        <v>2.5826014219991533E-2</v>
      </c>
      <c r="J596" s="17">
        <f t="shared" si="596"/>
        <v>1.9263899765074477E-2</v>
      </c>
    </row>
    <row r="597" spans="2:10" ht="15.75" customHeight="1" x14ac:dyDescent="0.25">
      <c r="B597" s="21">
        <f ca="1">IFERROR(__xludf.DUMMYFUNCTION("""COMPUTED_VALUE"""),45422.6666666666)</f>
        <v>45422.666666666599</v>
      </c>
      <c r="C597" s="22">
        <f ca="1">IFERROR(__xludf.DUMMYFUNCTION("""COMPUTED_VALUE"""),198.77)</f>
        <v>198.77</v>
      </c>
      <c r="D597" s="22">
        <v>98.28</v>
      </c>
      <c r="E597" s="23">
        <v>454.73</v>
      </c>
      <c r="G597" s="21">
        <f t="shared" ca="1" si="515"/>
        <v>45422.666666666599</v>
      </c>
      <c r="H597" s="19">
        <f t="shared" ref="H597:J597" ca="1" si="597">(C597/C596) - 1</f>
        <v>6.4303797468354684E-3</v>
      </c>
      <c r="I597" s="19">
        <f t="shared" si="597"/>
        <v>1.7327489552543263E-3</v>
      </c>
      <c r="J597" s="17">
        <f t="shared" si="597"/>
        <v>-1.8219334445517266E-3</v>
      </c>
    </row>
    <row r="598" spans="2:10" ht="15.75" customHeight="1" x14ac:dyDescent="0.25">
      <c r="B598" s="21">
        <f ca="1">IFERROR(__xludf.DUMMYFUNCTION("""COMPUTED_VALUE"""),45425.6666666666)</f>
        <v>45425.666666666599</v>
      </c>
      <c r="C598" s="22">
        <f ca="1">IFERROR(__xludf.DUMMYFUNCTION("""COMPUTED_VALUE"""),198.73)</f>
        <v>198.73</v>
      </c>
      <c r="D598" s="22">
        <v>98.56</v>
      </c>
      <c r="E598" s="23">
        <v>453.56</v>
      </c>
      <c r="G598" s="21">
        <f t="shared" ca="1" si="515"/>
        <v>45425.666666666599</v>
      </c>
      <c r="H598" s="19">
        <f t="shared" ref="H598:J598" ca="1" si="598">(C598/C597) - 1</f>
        <v>-2.012376113096348E-4</v>
      </c>
      <c r="I598" s="19">
        <f t="shared" si="598"/>
        <v>2.8490028490029129E-3</v>
      </c>
      <c r="J598" s="17">
        <f t="shared" si="598"/>
        <v>-2.5729553801157046E-3</v>
      </c>
    </row>
    <row r="599" spans="2:10" ht="15.75" customHeight="1" x14ac:dyDescent="0.25">
      <c r="B599" s="21">
        <f ca="1">IFERROR(__xludf.DUMMYFUNCTION("""COMPUTED_VALUE"""),45426.6666666666)</f>
        <v>45426.666666666599</v>
      </c>
      <c r="C599" s="22">
        <f ca="1">IFERROR(__xludf.DUMMYFUNCTION("""COMPUTED_VALUE"""),201.51)</f>
        <v>201.51</v>
      </c>
      <c r="D599" s="22">
        <v>99.38</v>
      </c>
      <c r="E599" s="23">
        <v>458.47</v>
      </c>
      <c r="G599" s="21">
        <f t="shared" ca="1" si="515"/>
        <v>45426.666666666599</v>
      </c>
      <c r="H599" s="19">
        <f t="shared" ref="H599:J599" ca="1" si="599">(C599/C598) - 1</f>
        <v>1.3988829064560004E-2</v>
      </c>
      <c r="I599" s="19">
        <f t="shared" si="599"/>
        <v>8.3198051948050189E-3</v>
      </c>
      <c r="J599" s="17">
        <f t="shared" si="599"/>
        <v>1.0825469618132244E-2</v>
      </c>
    </row>
    <row r="600" spans="2:10" ht="15.75" customHeight="1" x14ac:dyDescent="0.25">
      <c r="B600" s="21">
        <f ca="1">IFERROR(__xludf.DUMMYFUNCTION("""COMPUTED_VALUE"""),45427.6666666666)</f>
        <v>45427.666666666599</v>
      </c>
      <c r="C600" s="22">
        <f ca="1">IFERROR(__xludf.DUMMYFUNCTION("""COMPUTED_VALUE"""),202.11)</f>
        <v>202.11</v>
      </c>
      <c r="D600" s="22">
        <v>100.52</v>
      </c>
      <c r="E600" s="23">
        <v>466.09</v>
      </c>
      <c r="G600" s="21">
        <f t="shared" ca="1" si="515"/>
        <v>45427.666666666599</v>
      </c>
      <c r="H600" s="19">
        <f t="shared" ref="H600:J600" ca="1" si="600">(C600/C599) - 1</f>
        <v>2.9775197260681896E-3</v>
      </c>
      <c r="I600" s="19">
        <f t="shared" si="600"/>
        <v>1.1471120949889224E-2</v>
      </c>
      <c r="J600" s="17">
        <f t="shared" si="600"/>
        <v>1.662049861495829E-2</v>
      </c>
    </row>
    <row r="601" spans="2:10" ht="15.75" customHeight="1" x14ac:dyDescent="0.25">
      <c r="B601" s="21">
        <f ca="1">IFERROR(__xludf.DUMMYFUNCTION("""COMPUTED_VALUE"""),45428.6666666666)</f>
        <v>45428.666666666599</v>
      </c>
      <c r="C601" s="22">
        <f ca="1">IFERROR(__xludf.DUMMYFUNCTION("""COMPUTED_VALUE"""),202.47)</f>
        <v>202.47</v>
      </c>
      <c r="D601" s="22">
        <v>99.58</v>
      </c>
      <c r="E601" s="23">
        <v>464.52</v>
      </c>
      <c r="G601" s="21">
        <f t="shared" ca="1" si="515"/>
        <v>45428.666666666599</v>
      </c>
      <c r="H601" s="19">
        <f t="shared" ref="H601:J601" ca="1" si="601">(C601/C600) - 1</f>
        <v>1.7812082529315987E-3</v>
      </c>
      <c r="I601" s="19">
        <f t="shared" si="601"/>
        <v>-9.351372861122087E-3</v>
      </c>
      <c r="J601" s="17">
        <f t="shared" si="601"/>
        <v>-3.3684481537900046E-3</v>
      </c>
    </row>
    <row r="602" spans="2:10" ht="15.75" customHeight="1" x14ac:dyDescent="0.25">
      <c r="B602" s="21">
        <f ca="1">IFERROR(__xludf.DUMMYFUNCTION("""COMPUTED_VALUE"""),45429.6666666666)</f>
        <v>45429.666666666599</v>
      </c>
      <c r="C602" s="22">
        <f ca="1">IFERROR(__xludf.DUMMYFUNCTION("""COMPUTED_VALUE"""),204.79)</f>
        <v>204.79</v>
      </c>
      <c r="D602" s="22">
        <v>100.22</v>
      </c>
      <c r="E602" s="23">
        <v>467.72</v>
      </c>
      <c r="G602" s="21">
        <f t="shared" ca="1" si="515"/>
        <v>45429.666666666599</v>
      </c>
      <c r="H602" s="19">
        <f t="shared" ref="H602:J602" ca="1" si="602">(C602/C601) - 1</f>
        <v>1.1458487677186602E-2</v>
      </c>
      <c r="I602" s="19">
        <f t="shared" si="602"/>
        <v>6.4269933721630146E-3</v>
      </c>
      <c r="J602" s="17">
        <f t="shared" si="602"/>
        <v>6.8888314819599561E-3</v>
      </c>
    </row>
    <row r="603" spans="2:10" ht="15.75" customHeight="1" x14ac:dyDescent="0.25">
      <c r="B603" s="21">
        <f ca="1">IFERROR(__xludf.DUMMYFUNCTION("""COMPUTED_VALUE"""),45432.6666666666)</f>
        <v>45432.666666666599</v>
      </c>
      <c r="C603" s="22">
        <f ca="1">IFERROR(__xludf.DUMMYFUNCTION("""COMPUTED_VALUE"""),195.58)</f>
        <v>195.58</v>
      </c>
      <c r="D603" s="22">
        <v>100.33</v>
      </c>
      <c r="E603" s="23">
        <v>462.94</v>
      </c>
      <c r="G603" s="21">
        <f t="shared" ca="1" si="515"/>
        <v>45432.666666666599</v>
      </c>
      <c r="H603" s="19">
        <f t="shared" ref="H603:J603" ca="1" si="603">(C603/C602) - 1</f>
        <v>-4.4972899067337146E-2</v>
      </c>
      <c r="I603" s="19">
        <f t="shared" si="603"/>
        <v>1.0975853123129653E-3</v>
      </c>
      <c r="J603" s="17">
        <f t="shared" si="603"/>
        <v>-1.0219789617720076E-2</v>
      </c>
    </row>
    <row r="604" spans="2:10" ht="15.75" customHeight="1" x14ac:dyDescent="0.25">
      <c r="B604" s="21">
        <f ca="1">IFERROR(__xludf.DUMMYFUNCTION("""COMPUTED_VALUE"""),45433.6666666666)</f>
        <v>45433.666666666599</v>
      </c>
      <c r="C604" s="22">
        <f ca="1">IFERROR(__xludf.DUMMYFUNCTION("""COMPUTED_VALUE"""),199.52)</f>
        <v>199.52</v>
      </c>
      <c r="D604" s="22">
        <v>101.53</v>
      </c>
      <c r="E604" s="23">
        <v>470.41</v>
      </c>
      <c r="G604" s="21">
        <f t="shared" ca="1" si="515"/>
        <v>45433.666666666599</v>
      </c>
      <c r="H604" s="19">
        <f t="shared" ref="H604:J604" ca="1" si="604">(C604/C603) - 1</f>
        <v>2.0145209121587015E-2</v>
      </c>
      <c r="I604" s="19">
        <f t="shared" si="604"/>
        <v>1.1960530250174406E-2</v>
      </c>
      <c r="J604" s="17">
        <f t="shared" si="604"/>
        <v>1.6136000345617241E-2</v>
      </c>
    </row>
    <row r="605" spans="2:10" ht="15.75" customHeight="1" x14ac:dyDescent="0.25">
      <c r="B605" s="21">
        <f ca="1">IFERROR(__xludf.DUMMYFUNCTION("""COMPUTED_VALUE"""),45434.6666666666)</f>
        <v>45434.666666666599</v>
      </c>
      <c r="C605" s="22">
        <f ca="1">IFERROR(__xludf.DUMMYFUNCTION("""COMPUTED_VALUE"""),198.31)</f>
        <v>198.31</v>
      </c>
      <c r="D605" s="22">
        <v>100.74</v>
      </c>
      <c r="E605" s="23">
        <v>462.38</v>
      </c>
      <c r="G605" s="21">
        <f t="shared" ca="1" si="515"/>
        <v>45434.666666666599</v>
      </c>
      <c r="H605" s="19">
        <f t="shared" ref="H605:J605" ca="1" si="605">(C605/C604) - 1</f>
        <v>-6.0645549318364411E-3</v>
      </c>
      <c r="I605" s="19">
        <f t="shared" si="605"/>
        <v>-7.7809514429233451E-3</v>
      </c>
      <c r="J605" s="17">
        <f t="shared" si="605"/>
        <v>-1.7070215344061612E-2</v>
      </c>
    </row>
    <row r="606" spans="2:10" ht="15.75" customHeight="1" x14ac:dyDescent="0.25">
      <c r="B606" s="21">
        <f ca="1">IFERROR(__xludf.DUMMYFUNCTION("""COMPUTED_VALUE"""),45435.6666666666)</f>
        <v>45435.666666666599</v>
      </c>
      <c r="C606" s="22">
        <f ca="1">IFERROR(__xludf.DUMMYFUNCTION("""COMPUTED_VALUE"""),196.92)</f>
        <v>196.92</v>
      </c>
      <c r="D606" s="22">
        <v>98.92</v>
      </c>
      <c r="E606" s="23">
        <v>458.15</v>
      </c>
      <c r="G606" s="21">
        <f t="shared" ca="1" si="515"/>
        <v>45435.666666666599</v>
      </c>
      <c r="H606" s="19">
        <f t="shared" ref="H606:J606" ca="1" si="606">(C606/C605) - 1</f>
        <v>-7.0092279764006893E-3</v>
      </c>
      <c r="I606" s="19">
        <f t="shared" si="606"/>
        <v>-1.8066309311097761E-2</v>
      </c>
      <c r="J606" s="17">
        <f t="shared" si="606"/>
        <v>-9.1483195639949777E-3</v>
      </c>
    </row>
    <row r="607" spans="2:10" ht="15.75" customHeight="1" x14ac:dyDescent="0.25">
      <c r="B607" s="21">
        <f ca="1">IFERROR(__xludf.DUMMYFUNCTION("""COMPUTED_VALUE"""),45436.6666666666)</f>
        <v>45436.666666666599</v>
      </c>
      <c r="C607" s="22">
        <f ca="1">IFERROR(__xludf.DUMMYFUNCTION("""COMPUTED_VALUE"""),200.71)</f>
        <v>200.71</v>
      </c>
      <c r="D607" s="22">
        <v>98.97</v>
      </c>
      <c r="E607" s="23">
        <v>461.18</v>
      </c>
      <c r="G607" s="21">
        <f t="shared" ca="1" si="515"/>
        <v>45436.666666666599</v>
      </c>
      <c r="H607" s="19">
        <f t="shared" ref="H607:J607" ca="1" si="607">(C607/C606) - 1</f>
        <v>1.9246394474913719E-2</v>
      </c>
      <c r="I607" s="19">
        <f t="shared" si="607"/>
        <v>5.0545895673259622E-4</v>
      </c>
      <c r="J607" s="17">
        <f t="shared" si="607"/>
        <v>6.6135545127141704E-3</v>
      </c>
    </row>
    <row r="608" spans="2:10" ht="15.75" customHeight="1" x14ac:dyDescent="0.25">
      <c r="B608" s="21">
        <f ca="1">IFERROR(__xludf.DUMMYFUNCTION("""COMPUTED_VALUE"""),45440.6666666666)</f>
        <v>45440.666666666599</v>
      </c>
      <c r="C608" s="22">
        <f ca="1">IFERROR(__xludf.DUMMYFUNCTION("""COMPUTED_VALUE"""),199.5)</f>
        <v>199.5</v>
      </c>
      <c r="D608" s="22">
        <v>98.67</v>
      </c>
      <c r="E608" s="23">
        <v>459.81</v>
      </c>
      <c r="G608" s="21">
        <f t="shared" ca="1" si="515"/>
        <v>45440.666666666599</v>
      </c>
      <c r="H608" s="19">
        <f t="shared" ref="H608:J608" ca="1" si="608">(C608/C607) - 1</f>
        <v>-6.0285984754123723E-3</v>
      </c>
      <c r="I608" s="19">
        <f t="shared" si="608"/>
        <v>-3.0312215822976274E-3</v>
      </c>
      <c r="J608" s="17">
        <f t="shared" si="608"/>
        <v>-2.9706405308123074E-3</v>
      </c>
    </row>
    <row r="609" spans="2:10" ht="15.75" customHeight="1" x14ac:dyDescent="0.25">
      <c r="B609" s="21">
        <f ca="1">IFERROR(__xludf.DUMMYFUNCTION("""COMPUTED_VALUE"""),45441.6666666666)</f>
        <v>45441.666666666599</v>
      </c>
      <c r="C609" s="22">
        <f ca="1">IFERROR(__xludf.DUMMYFUNCTION("""COMPUTED_VALUE"""),198.11)</f>
        <v>198.11</v>
      </c>
      <c r="D609" s="22">
        <v>97.27</v>
      </c>
      <c r="E609" s="23">
        <v>457.17</v>
      </c>
      <c r="G609" s="21">
        <f t="shared" ca="1" si="515"/>
        <v>45441.666666666599</v>
      </c>
      <c r="H609" s="19">
        <f t="shared" ref="H609:J609" ca="1" si="609">(C609/C608) - 1</f>
        <v>-6.9674185463658445E-3</v>
      </c>
      <c r="I609" s="19">
        <f t="shared" si="609"/>
        <v>-1.4188709840883829E-2</v>
      </c>
      <c r="J609" s="17">
        <f t="shared" si="609"/>
        <v>-5.7415019247080146E-3</v>
      </c>
    </row>
    <row r="610" spans="2:10" ht="15.75" customHeight="1" x14ac:dyDescent="0.25">
      <c r="B610" s="21">
        <f ca="1">IFERROR(__xludf.DUMMYFUNCTION("""COMPUTED_VALUE"""),45442.6666666666)</f>
        <v>45442.666666666599</v>
      </c>
      <c r="C610" s="22">
        <f ca="1">IFERROR(__xludf.DUMMYFUNCTION("""COMPUTED_VALUE"""),199.33)</f>
        <v>199.33</v>
      </c>
      <c r="D610" s="22">
        <v>97.23</v>
      </c>
      <c r="E610" s="23">
        <v>450.23</v>
      </c>
      <c r="G610" s="21">
        <f t="shared" ca="1" si="515"/>
        <v>45442.666666666599</v>
      </c>
      <c r="H610" s="19">
        <f t="shared" ref="H610:J610" ca="1" si="610">(C610/C609) - 1</f>
        <v>6.1581949422038207E-3</v>
      </c>
      <c r="I610" s="19">
        <f t="shared" si="610"/>
        <v>-4.112264829854162E-4</v>
      </c>
      <c r="J610" s="17">
        <f t="shared" si="610"/>
        <v>-1.5180348666797849E-2</v>
      </c>
    </row>
    <row r="611" spans="2:10" ht="15.75" customHeight="1" x14ac:dyDescent="0.25">
      <c r="B611" s="21">
        <f ca="1">IFERROR(__xludf.DUMMYFUNCTION("""COMPUTED_VALUE"""),45443.6666666666)</f>
        <v>45443.666666666599</v>
      </c>
      <c r="C611" s="22">
        <f ca="1">IFERROR(__xludf.DUMMYFUNCTION("""COMPUTED_VALUE"""),202.63)</f>
        <v>202.63</v>
      </c>
      <c r="D611" s="22">
        <v>97.84</v>
      </c>
      <c r="E611" s="23">
        <v>456.52</v>
      </c>
      <c r="G611" s="21">
        <f t="shared" ca="1" si="515"/>
        <v>45443.666666666599</v>
      </c>
      <c r="H611" s="19">
        <f t="shared" ref="H611:J611" ca="1" si="611">(C611/C610) - 1</f>
        <v>1.6555460793658661E-2</v>
      </c>
      <c r="I611" s="19">
        <f t="shared" si="611"/>
        <v>6.2737838115807243E-3</v>
      </c>
      <c r="J611" s="17">
        <f t="shared" si="611"/>
        <v>1.397063722986025E-2</v>
      </c>
    </row>
    <row r="612" spans="2:10" ht="15.75" customHeight="1" x14ac:dyDescent="0.25">
      <c r="B612" s="21">
        <f ca="1">IFERROR(__xludf.DUMMYFUNCTION("""COMPUTED_VALUE"""),45446.6666666666)</f>
        <v>45446.666666666599</v>
      </c>
      <c r="C612" s="22">
        <f ca="1">IFERROR(__xludf.DUMMYFUNCTION("""COMPUTED_VALUE"""),201.82)</f>
        <v>201.82</v>
      </c>
      <c r="D612" s="22">
        <v>97.41</v>
      </c>
      <c r="E612" s="23">
        <v>454.98</v>
      </c>
      <c r="G612" s="21">
        <f t="shared" ca="1" si="515"/>
        <v>45446.666666666599</v>
      </c>
      <c r="H612" s="19">
        <f t="shared" ref="H612:J612" ca="1" si="612">(C612/C611) - 1</f>
        <v>-3.9974337462369558E-3</v>
      </c>
      <c r="I612" s="19">
        <f t="shared" si="612"/>
        <v>-4.3949304987735971E-3</v>
      </c>
      <c r="J612" s="17">
        <f t="shared" si="612"/>
        <v>-3.3733461841758405E-3</v>
      </c>
    </row>
    <row r="613" spans="2:10" ht="15.75" customHeight="1" x14ac:dyDescent="0.25">
      <c r="B613" s="21">
        <f ca="1">IFERROR(__xludf.DUMMYFUNCTION("""COMPUTED_VALUE"""),45447.6666666666)</f>
        <v>45447.666666666599</v>
      </c>
      <c r="C613" s="22">
        <f ca="1">IFERROR(__xludf.DUMMYFUNCTION("""COMPUTED_VALUE"""),199.16)</f>
        <v>199.16</v>
      </c>
      <c r="D613" s="22">
        <v>96.58</v>
      </c>
      <c r="E613" s="23">
        <v>455.3</v>
      </c>
      <c r="G613" s="21">
        <f t="shared" ca="1" si="515"/>
        <v>45447.666666666599</v>
      </c>
      <c r="H613" s="19">
        <f t="shared" ref="H613:J613" ca="1" si="613">(C613/C612) - 1</f>
        <v>-1.3180061440887902E-2</v>
      </c>
      <c r="I613" s="19">
        <f t="shared" si="613"/>
        <v>-8.5206857612154518E-3</v>
      </c>
      <c r="J613" s="17">
        <f t="shared" si="613"/>
        <v>7.0332761879643435E-4</v>
      </c>
    </row>
    <row r="614" spans="2:10" ht="15.75" customHeight="1" x14ac:dyDescent="0.25">
      <c r="B614" s="21">
        <f ca="1">IFERROR(__xludf.DUMMYFUNCTION("""COMPUTED_VALUE"""),45448.6666666666)</f>
        <v>45448.666666666599</v>
      </c>
      <c r="C614" s="22">
        <f ca="1">IFERROR(__xludf.DUMMYFUNCTION("""COMPUTED_VALUE"""),197.26)</f>
        <v>197.26</v>
      </c>
      <c r="D614" s="22">
        <v>96.66</v>
      </c>
      <c r="E614" s="23">
        <v>461.68</v>
      </c>
      <c r="G614" s="21">
        <f t="shared" ca="1" si="515"/>
        <v>45448.666666666599</v>
      </c>
      <c r="H614" s="19">
        <f t="shared" ref="H614:J614" ca="1" si="614">(C614/C613) - 1</f>
        <v>-9.5400682868046482E-3</v>
      </c>
      <c r="I614" s="19">
        <f t="shared" si="614"/>
        <v>8.2832884655203998E-4</v>
      </c>
      <c r="J614" s="17">
        <f t="shared" si="614"/>
        <v>1.4012738853503182E-2</v>
      </c>
    </row>
    <row r="615" spans="2:10" ht="15.75" customHeight="1" x14ac:dyDescent="0.25">
      <c r="B615" s="21">
        <f ca="1">IFERROR(__xludf.DUMMYFUNCTION("""COMPUTED_VALUE"""),45449.6666666666)</f>
        <v>45449.666666666599</v>
      </c>
      <c r="C615" s="22">
        <f ca="1">IFERROR(__xludf.DUMMYFUNCTION("""COMPUTED_VALUE"""),196.91)</f>
        <v>196.91</v>
      </c>
      <c r="D615" s="22">
        <v>96.85</v>
      </c>
      <c r="E615" s="23">
        <v>458.1</v>
      </c>
      <c r="G615" s="21">
        <f t="shared" ca="1" si="515"/>
        <v>45449.666666666599</v>
      </c>
      <c r="H615" s="19">
        <f t="shared" ref="H615:J615" ca="1" si="615">(C615/C614) - 1</f>
        <v>-1.7743080198722172E-3</v>
      </c>
      <c r="I615" s="19">
        <f t="shared" si="615"/>
        <v>1.9656528036415821E-3</v>
      </c>
      <c r="J615" s="17">
        <f t="shared" si="615"/>
        <v>-7.7542886848033232E-3</v>
      </c>
    </row>
    <row r="616" spans="2:10" ht="15.75" customHeight="1" x14ac:dyDescent="0.25">
      <c r="B616" s="21">
        <f ca="1">IFERROR(__xludf.DUMMYFUNCTION("""COMPUTED_VALUE"""),45450.6666666666)</f>
        <v>45450.666666666599</v>
      </c>
      <c r="C616" s="22">
        <f ca="1">IFERROR(__xludf.DUMMYFUNCTION("""COMPUTED_VALUE"""),199.95)</f>
        <v>199.95</v>
      </c>
      <c r="D616" s="22">
        <v>97.14</v>
      </c>
      <c r="E616" s="23">
        <v>454.91</v>
      </c>
      <c r="G616" s="21">
        <f t="shared" ca="1" si="515"/>
        <v>45450.666666666599</v>
      </c>
      <c r="H616" s="19">
        <f t="shared" ref="H616:J616" ca="1" si="616">(C616/C615) - 1</f>
        <v>1.5438525214565013E-2</v>
      </c>
      <c r="I616" s="19">
        <f t="shared" si="616"/>
        <v>2.9943211151266524E-3</v>
      </c>
      <c r="J616" s="17">
        <f t="shared" si="616"/>
        <v>-6.9635450774939711E-3</v>
      </c>
    </row>
    <row r="617" spans="2:10" ht="15.75" customHeight="1" x14ac:dyDescent="0.25">
      <c r="B617" s="21">
        <f ca="1">IFERROR(__xludf.DUMMYFUNCTION("""COMPUTED_VALUE"""),45453.6666666666)</f>
        <v>45453.666666666599</v>
      </c>
      <c r="C617" s="22">
        <f ca="1">IFERROR(__xludf.DUMMYFUNCTION("""COMPUTED_VALUE"""),199.61)</f>
        <v>199.61</v>
      </c>
      <c r="D617" s="22">
        <v>96.39</v>
      </c>
      <c r="E617" s="23">
        <v>453.55</v>
      </c>
      <c r="G617" s="21">
        <f t="shared" ca="1" si="515"/>
        <v>45453.666666666599</v>
      </c>
      <c r="H617" s="19">
        <f t="shared" ref="H617:J617" ca="1" si="617">(C617/C616) - 1</f>
        <v>-1.7004251062764375E-3</v>
      </c>
      <c r="I617" s="19">
        <f t="shared" si="617"/>
        <v>-7.7208153180975403E-3</v>
      </c>
      <c r="J617" s="17">
        <f t="shared" si="617"/>
        <v>-2.9896023389242021E-3</v>
      </c>
    </row>
    <row r="618" spans="2:10" ht="15.75" customHeight="1" x14ac:dyDescent="0.25">
      <c r="B618" s="21">
        <f ca="1">IFERROR(__xludf.DUMMYFUNCTION("""COMPUTED_VALUE"""),45454.6666666666)</f>
        <v>45454.666666666599</v>
      </c>
      <c r="C618" s="22">
        <f ca="1">IFERROR(__xludf.DUMMYFUNCTION("""COMPUTED_VALUE"""),194.36)</f>
        <v>194.36</v>
      </c>
      <c r="D618" s="22">
        <v>95.43</v>
      </c>
      <c r="E618" s="23">
        <v>444.27</v>
      </c>
      <c r="G618" s="21">
        <f t="shared" ca="1" si="515"/>
        <v>45454.666666666599</v>
      </c>
      <c r="H618" s="19">
        <f t="shared" ref="H618:J618" ca="1" si="618">(C618/C617) - 1</f>
        <v>-2.6301287510645754E-2</v>
      </c>
      <c r="I618" s="19">
        <f t="shared" si="618"/>
        <v>-9.9595393713040048E-3</v>
      </c>
      <c r="J618" s="17">
        <f t="shared" si="618"/>
        <v>-2.0460809172086925E-2</v>
      </c>
    </row>
    <row r="619" spans="2:10" ht="15.75" customHeight="1" x14ac:dyDescent="0.25">
      <c r="B619" s="21">
        <f ca="1">IFERROR(__xludf.DUMMYFUNCTION("""COMPUTED_VALUE"""),45455.6666666666)</f>
        <v>45455.666666666599</v>
      </c>
      <c r="C619" s="22">
        <f ca="1">IFERROR(__xludf.DUMMYFUNCTION("""COMPUTED_VALUE"""),191.53)</f>
        <v>191.53</v>
      </c>
      <c r="D619" s="22">
        <v>95.65</v>
      </c>
      <c r="E619" s="23">
        <v>448.7</v>
      </c>
      <c r="G619" s="21">
        <f t="shared" ca="1" si="515"/>
        <v>45455.666666666599</v>
      </c>
      <c r="H619" s="19">
        <f t="shared" ref="H619:J619" ca="1" si="619">(C619/C618) - 1</f>
        <v>-1.4560609178843498E-2</v>
      </c>
      <c r="I619" s="19">
        <f t="shared" si="619"/>
        <v>2.3053547102587224E-3</v>
      </c>
      <c r="J619" s="17">
        <f t="shared" si="619"/>
        <v>9.9714137799087332E-3</v>
      </c>
    </row>
    <row r="620" spans="2:10" ht="15.75" customHeight="1" x14ac:dyDescent="0.25">
      <c r="B620" s="21">
        <f ca="1">IFERROR(__xludf.DUMMYFUNCTION("""COMPUTED_VALUE"""),45456.6666666666)</f>
        <v>45456.666666666599</v>
      </c>
      <c r="C620" s="22">
        <f ca="1">IFERROR(__xludf.DUMMYFUNCTION("""COMPUTED_VALUE"""),193.66)</f>
        <v>193.66</v>
      </c>
      <c r="D620" s="22">
        <v>95.21</v>
      </c>
      <c r="E620" s="23">
        <v>446.35</v>
      </c>
      <c r="G620" s="21">
        <f t="shared" ca="1" si="515"/>
        <v>45456.666666666599</v>
      </c>
      <c r="H620" s="19">
        <f t="shared" ref="H620:J620" ca="1" si="620">(C620/C619) - 1</f>
        <v>1.1120973215684282E-2</v>
      </c>
      <c r="I620" s="19">
        <f t="shared" si="620"/>
        <v>-4.6001045478307745E-3</v>
      </c>
      <c r="J620" s="17">
        <f t="shared" si="620"/>
        <v>-5.2373523512367903E-3</v>
      </c>
    </row>
    <row r="621" spans="2:10" ht="15.75" customHeight="1" x14ac:dyDescent="0.25">
      <c r="B621" s="21">
        <f ca="1">IFERROR(__xludf.DUMMYFUNCTION("""COMPUTED_VALUE"""),45457.6666666666)</f>
        <v>45457.666666666599</v>
      </c>
      <c r="C621" s="22">
        <f ca="1">IFERROR(__xludf.DUMMYFUNCTION("""COMPUTED_VALUE"""),193.78)</f>
        <v>193.78</v>
      </c>
      <c r="D621" s="22">
        <v>95.5</v>
      </c>
      <c r="E621" s="23">
        <v>446.46</v>
      </c>
      <c r="G621" s="21">
        <f t="shared" ca="1" si="515"/>
        <v>45457.666666666599</v>
      </c>
      <c r="H621" s="19">
        <f t="shared" ref="H621:J621" ca="1" si="621">(C621/C620) - 1</f>
        <v>6.1964267272540674E-4</v>
      </c>
      <c r="I621" s="19">
        <f t="shared" si="621"/>
        <v>3.045898540069425E-3</v>
      </c>
      <c r="J621" s="17">
        <f t="shared" si="621"/>
        <v>2.46443374033678E-4</v>
      </c>
    </row>
    <row r="622" spans="2:10" ht="15.75" customHeight="1" x14ac:dyDescent="0.25">
      <c r="B622" s="21">
        <f ca="1">IFERROR(__xludf.DUMMYFUNCTION("""COMPUTED_VALUE"""),45460.6666666666)</f>
        <v>45460.666666666599</v>
      </c>
      <c r="C622" s="22">
        <f ca="1">IFERROR(__xludf.DUMMYFUNCTION("""COMPUTED_VALUE"""),194.98)</f>
        <v>194.98</v>
      </c>
      <c r="D622" s="22">
        <v>97.04</v>
      </c>
      <c r="E622" s="23">
        <v>450.18</v>
      </c>
      <c r="G622" s="21">
        <f t="shared" ca="1" si="515"/>
        <v>45460.666666666599</v>
      </c>
      <c r="H622" s="19">
        <f t="shared" ref="H622:J622" ca="1" si="622">(C622/C621) - 1</f>
        <v>6.1925895345236182E-3</v>
      </c>
      <c r="I622" s="19">
        <f t="shared" si="622"/>
        <v>1.6125654450261928E-2</v>
      </c>
      <c r="J622" s="17">
        <f t="shared" si="622"/>
        <v>8.3322134121759373E-3</v>
      </c>
    </row>
    <row r="623" spans="2:10" ht="15.75" customHeight="1" x14ac:dyDescent="0.25">
      <c r="B623" s="21">
        <f ca="1">IFERROR(__xludf.DUMMYFUNCTION("""COMPUTED_VALUE"""),45461.6666666666)</f>
        <v>45461.666666666599</v>
      </c>
      <c r="C623" s="22">
        <f ca="1">IFERROR(__xludf.DUMMYFUNCTION("""COMPUTED_VALUE"""),197)</f>
        <v>197</v>
      </c>
      <c r="D623" s="22">
        <v>97.57</v>
      </c>
      <c r="E623" s="23">
        <v>457.43</v>
      </c>
      <c r="G623" s="21">
        <f t="shared" ca="1" si="515"/>
        <v>45461.666666666599</v>
      </c>
      <c r="H623" s="19">
        <f t="shared" ref="H623:J623" ca="1" si="623">(C623/C622) - 1</f>
        <v>1.036003692686438E-2</v>
      </c>
      <c r="I623" s="19">
        <f t="shared" si="623"/>
        <v>5.4616652926626763E-3</v>
      </c>
      <c r="J623" s="17">
        <f t="shared" si="623"/>
        <v>1.6104669243413694E-2</v>
      </c>
    </row>
    <row r="624" spans="2:10" ht="15.75" customHeight="1" x14ac:dyDescent="0.25">
      <c r="B624" s="21">
        <f ca="1">IFERROR(__xludf.DUMMYFUNCTION("""COMPUTED_VALUE"""),45463.6666666666)</f>
        <v>45463.666666666599</v>
      </c>
      <c r="C624" s="22">
        <f ca="1">IFERROR(__xludf.DUMMYFUNCTION("""COMPUTED_VALUE"""),198.67)</f>
        <v>198.67</v>
      </c>
      <c r="D624" s="22">
        <v>97.44</v>
      </c>
      <c r="E624" s="23">
        <v>458.05</v>
      </c>
      <c r="G624" s="21">
        <f t="shared" ca="1" si="515"/>
        <v>45463.666666666599</v>
      </c>
      <c r="H624" s="19">
        <f t="shared" ref="H624:J624" ca="1" si="624">(C624/C623) - 1</f>
        <v>8.4771573604061068E-3</v>
      </c>
      <c r="I624" s="19">
        <f t="shared" si="624"/>
        <v>-1.3323767551500776E-3</v>
      </c>
      <c r="J624" s="17">
        <f t="shared" si="624"/>
        <v>1.3553986402290441E-3</v>
      </c>
    </row>
    <row r="625" spans="2:10" ht="15.75" customHeight="1" x14ac:dyDescent="0.25">
      <c r="B625" s="21">
        <f ca="1">IFERROR(__xludf.DUMMYFUNCTION("""COMPUTED_VALUE"""),45464.6666666666)</f>
        <v>45464.666666666599</v>
      </c>
      <c r="C625" s="22">
        <f ca="1">IFERROR(__xludf.DUMMYFUNCTION("""COMPUTED_VALUE"""),196.3)</f>
        <v>196.3</v>
      </c>
      <c r="D625" s="22">
        <v>96.16</v>
      </c>
      <c r="E625" s="23">
        <v>450.18</v>
      </c>
      <c r="G625" s="21">
        <f t="shared" ca="1" si="515"/>
        <v>45464.666666666599</v>
      </c>
      <c r="H625" s="19">
        <f t="shared" ref="H625:J625" ca="1" si="625">(C625/C624) - 1</f>
        <v>-1.1929330044797792E-2</v>
      </c>
      <c r="I625" s="19">
        <f t="shared" si="625"/>
        <v>-1.3136288998357948E-2</v>
      </c>
      <c r="J625" s="17">
        <f t="shared" si="625"/>
        <v>-1.7181530400611322E-2</v>
      </c>
    </row>
    <row r="626" spans="2:10" ht="15.75" customHeight="1" x14ac:dyDescent="0.25">
      <c r="B626" s="21">
        <f ca="1">IFERROR(__xludf.DUMMYFUNCTION("""COMPUTED_VALUE"""),45467.6666666666)</f>
        <v>45467.666666666599</v>
      </c>
      <c r="C626" s="22">
        <f ca="1">IFERROR(__xludf.DUMMYFUNCTION("""COMPUTED_VALUE"""),198.88)</f>
        <v>198.88</v>
      </c>
      <c r="D626" s="22">
        <v>97.1</v>
      </c>
      <c r="E626" s="23">
        <v>462.09</v>
      </c>
      <c r="G626" s="21">
        <f t="shared" ca="1" si="515"/>
        <v>45467.666666666599</v>
      </c>
      <c r="H626" s="19">
        <f t="shared" ref="H626:J626" ca="1" si="626">(C626/C625) - 1</f>
        <v>1.3143148242485969E-2</v>
      </c>
      <c r="I626" s="19">
        <f t="shared" si="626"/>
        <v>9.7753743760398137E-3</v>
      </c>
      <c r="J626" s="17">
        <f t="shared" si="626"/>
        <v>2.6456084232973298E-2</v>
      </c>
    </row>
    <row r="627" spans="2:10" ht="15.75" customHeight="1" x14ac:dyDescent="0.25">
      <c r="B627" s="21">
        <f ca="1">IFERROR(__xludf.DUMMYFUNCTION("""COMPUTED_VALUE"""),45468.6666666666)</f>
        <v>45468.666666666599</v>
      </c>
      <c r="C627" s="22">
        <f ca="1">IFERROR(__xludf.DUMMYFUNCTION("""COMPUTED_VALUE"""),198.07)</f>
        <v>198.07</v>
      </c>
      <c r="D627" s="22">
        <v>97.8</v>
      </c>
      <c r="E627" s="23">
        <v>457.38</v>
      </c>
      <c r="G627" s="21">
        <f t="shared" ca="1" si="515"/>
        <v>45468.666666666599</v>
      </c>
      <c r="H627" s="19">
        <f t="shared" ref="H627:J627" ca="1" si="627">(C627/C626) - 1</f>
        <v>-4.0728077232502491E-3</v>
      </c>
      <c r="I627" s="19">
        <f t="shared" si="627"/>
        <v>7.2090628218330899E-3</v>
      </c>
      <c r="J627" s="17">
        <f t="shared" si="627"/>
        <v>-1.0192819580601142E-2</v>
      </c>
    </row>
    <row r="628" spans="2:10" ht="15.75" customHeight="1" x14ac:dyDescent="0.25">
      <c r="B628" s="21">
        <f ca="1">IFERROR(__xludf.DUMMYFUNCTION("""COMPUTED_VALUE"""),45469.6666666666)</f>
        <v>45469.666666666599</v>
      </c>
      <c r="C628" s="22">
        <f ca="1">IFERROR(__xludf.DUMMYFUNCTION("""COMPUTED_VALUE"""),197.43)</f>
        <v>197.43</v>
      </c>
      <c r="D628" s="22">
        <v>96.89</v>
      </c>
      <c r="E628" s="23">
        <v>455.86</v>
      </c>
      <c r="G628" s="21">
        <f t="shared" ca="1" si="515"/>
        <v>45469.666666666599</v>
      </c>
      <c r="H628" s="19">
        <f t="shared" ref="H628:J628" ca="1" si="628">(C628/C627) - 1</f>
        <v>-3.2311808956428933E-3</v>
      </c>
      <c r="I628" s="19">
        <f t="shared" si="628"/>
        <v>-9.3047034764826009E-3</v>
      </c>
      <c r="J628" s="17">
        <f t="shared" si="628"/>
        <v>-3.323276050548718E-3</v>
      </c>
    </row>
    <row r="629" spans="2:10" ht="15.75" customHeight="1" x14ac:dyDescent="0.25">
      <c r="B629" s="21">
        <f ca="1">IFERROR(__xludf.DUMMYFUNCTION("""COMPUTED_VALUE"""),45470.6666666666)</f>
        <v>45470.666666666599</v>
      </c>
      <c r="C629" s="22">
        <f ca="1">IFERROR(__xludf.DUMMYFUNCTION("""COMPUTED_VALUE"""),199.17)</f>
        <v>199.17</v>
      </c>
      <c r="D629" s="22">
        <v>95.77</v>
      </c>
      <c r="E629" s="23">
        <v>445.96</v>
      </c>
      <c r="G629" s="21">
        <f t="shared" ca="1" si="515"/>
        <v>45470.666666666599</v>
      </c>
      <c r="H629" s="19">
        <f t="shared" ref="H629:J629" ca="1" si="629">(C629/C628) - 1</f>
        <v>8.8132502659168388E-3</v>
      </c>
      <c r="I629" s="19">
        <f t="shared" si="629"/>
        <v>-1.1559500464444317E-2</v>
      </c>
      <c r="J629" s="17">
        <f t="shared" si="629"/>
        <v>-2.1717193875312679E-2</v>
      </c>
    </row>
    <row r="630" spans="2:10" ht="15.75" customHeight="1" x14ac:dyDescent="0.25">
      <c r="B630" s="21">
        <f ca="1">IFERROR(__xludf.DUMMYFUNCTION("""COMPUTED_VALUE"""),45471.6666666666)</f>
        <v>45471.666666666599</v>
      </c>
      <c r="C630" s="22">
        <f ca="1">IFERROR(__xludf.DUMMYFUNCTION("""COMPUTED_VALUE"""),202.26)</f>
        <v>202.26</v>
      </c>
      <c r="D630" s="22">
        <v>97.19</v>
      </c>
      <c r="E630" s="23">
        <v>452.32</v>
      </c>
      <c r="G630" s="21">
        <f t="shared" ca="1" si="515"/>
        <v>45471.666666666599</v>
      </c>
      <c r="H630" s="19">
        <f t="shared" ref="H630:J630" ca="1" si="630">(C630/C629) - 1</f>
        <v>1.5514384696490469E-2</v>
      </c>
      <c r="I630" s="19">
        <f t="shared" si="630"/>
        <v>1.4827190143051006E-2</v>
      </c>
      <c r="J630" s="17">
        <f t="shared" si="630"/>
        <v>1.4261368732621849E-2</v>
      </c>
    </row>
    <row r="631" spans="2:10" ht="15.75" customHeight="1" x14ac:dyDescent="0.25">
      <c r="B631" s="21">
        <f ca="1">IFERROR(__xludf.DUMMYFUNCTION("""COMPUTED_VALUE"""),45474.6666666666)</f>
        <v>45474.666666666599</v>
      </c>
      <c r="C631" s="22">
        <f ca="1">IFERROR(__xludf.DUMMYFUNCTION("""COMPUTED_VALUE"""),205.45)</f>
        <v>205.45</v>
      </c>
      <c r="D631" s="22">
        <v>99.16</v>
      </c>
      <c r="E631" s="23">
        <v>463.66</v>
      </c>
      <c r="G631" s="21">
        <f t="shared" ca="1" si="515"/>
        <v>45474.666666666599</v>
      </c>
      <c r="H631" s="19">
        <f t="shared" ref="H631:J631" ca="1" si="631">(C631/C630) - 1</f>
        <v>1.5771778898447497E-2</v>
      </c>
      <c r="I631" s="19">
        <f t="shared" si="631"/>
        <v>2.0269575059162381E-2</v>
      </c>
      <c r="J631" s="17">
        <f t="shared" si="631"/>
        <v>2.5070746374248332E-2</v>
      </c>
    </row>
    <row r="632" spans="2:10" ht="15.75" customHeight="1" x14ac:dyDescent="0.25">
      <c r="B632" s="21">
        <f ca="1">IFERROR(__xludf.DUMMYFUNCTION("""COMPUTED_VALUE"""),45475.6666666666)</f>
        <v>45475.666666666599</v>
      </c>
      <c r="C632" s="22">
        <f ca="1">IFERROR(__xludf.DUMMYFUNCTION("""COMPUTED_VALUE"""),208.83)</f>
        <v>208.83</v>
      </c>
      <c r="D632" s="22">
        <v>99.65</v>
      </c>
      <c r="E632" s="23">
        <v>465.61</v>
      </c>
      <c r="G632" s="21">
        <f t="shared" ca="1" si="515"/>
        <v>45475.666666666599</v>
      </c>
      <c r="H632" s="19">
        <f t="shared" ref="H632:J632" ca="1" si="632">(C632/C631) - 1</f>
        <v>1.6451691409102187E-2</v>
      </c>
      <c r="I632" s="19">
        <f t="shared" si="632"/>
        <v>4.9415086728521462E-3</v>
      </c>
      <c r="J632" s="17">
        <f t="shared" si="632"/>
        <v>4.2056679463400304E-3</v>
      </c>
    </row>
    <row r="633" spans="2:10" ht="15.75" customHeight="1" x14ac:dyDescent="0.25">
      <c r="B633" s="21">
        <f ca="1">IFERROR(__xludf.DUMMYFUNCTION("""COMPUTED_VALUE"""),45476.5416666666)</f>
        <v>45476.541666666599</v>
      </c>
      <c r="C633" s="22">
        <f ca="1">IFERROR(__xludf.DUMMYFUNCTION("""COMPUTED_VALUE"""),208.69)</f>
        <v>208.69</v>
      </c>
      <c r="D633" s="22">
        <v>100.2</v>
      </c>
      <c r="E633" s="23">
        <v>467.92</v>
      </c>
      <c r="G633" s="21">
        <f t="shared" ca="1" si="515"/>
        <v>45476.541666666599</v>
      </c>
      <c r="H633" s="19">
        <f t="shared" ref="H633:J633" ca="1" si="633">(C633/C632) - 1</f>
        <v>-6.7040176219901326E-4</v>
      </c>
      <c r="I633" s="19">
        <f t="shared" si="633"/>
        <v>5.5193176116408171E-3</v>
      </c>
      <c r="J633" s="17">
        <f t="shared" si="633"/>
        <v>4.961233650480068E-3</v>
      </c>
    </row>
    <row r="634" spans="2:10" ht="15.75" customHeight="1" x14ac:dyDescent="0.25">
      <c r="B634" s="21">
        <f ca="1">IFERROR(__xludf.DUMMYFUNCTION("""COMPUTED_VALUE"""),45478.6666666666)</f>
        <v>45478.666666666599</v>
      </c>
      <c r="C634" s="22">
        <f ca="1">IFERROR(__xludf.DUMMYFUNCTION("""COMPUTED_VALUE"""),204.79)</f>
        <v>204.79</v>
      </c>
      <c r="D634" s="22">
        <v>99.59</v>
      </c>
      <c r="E634" s="23">
        <v>464.75</v>
      </c>
      <c r="G634" s="21">
        <f t="shared" ca="1" si="515"/>
        <v>45478.666666666599</v>
      </c>
      <c r="H634" s="19">
        <f t="shared" ref="H634:J634" ca="1" si="634">(C634/C633) - 1</f>
        <v>-1.8688006133499524E-2</v>
      </c>
      <c r="I634" s="19">
        <f t="shared" si="634"/>
        <v>-6.0878243512973995E-3</v>
      </c>
      <c r="J634" s="17">
        <f t="shared" si="634"/>
        <v>-6.7746623354419944E-3</v>
      </c>
    </row>
    <row r="635" spans="2:10" ht="15.75" customHeight="1" x14ac:dyDescent="0.25">
      <c r="B635" s="21">
        <f ca="1">IFERROR(__xludf.DUMMYFUNCTION("""COMPUTED_VALUE"""),45481.6666666666)</f>
        <v>45481.666666666599</v>
      </c>
      <c r="C635" s="22">
        <f ca="1">IFERROR(__xludf.DUMMYFUNCTION("""COMPUTED_VALUE"""),205.17)</f>
        <v>205.17</v>
      </c>
      <c r="D635" s="22">
        <v>100.59</v>
      </c>
      <c r="E635" s="23">
        <v>464.82</v>
      </c>
      <c r="G635" s="21">
        <f t="shared" ca="1" si="515"/>
        <v>45481.666666666599</v>
      </c>
      <c r="H635" s="19">
        <f t="shared" ref="H635:J635" ca="1" si="635">(C635/C634) - 1</f>
        <v>1.8555593534841375E-3</v>
      </c>
      <c r="I635" s="19">
        <f t="shared" si="635"/>
        <v>1.0041168792047417E-2</v>
      </c>
      <c r="J635" s="17">
        <f t="shared" si="635"/>
        <v>1.5061861215714956E-4</v>
      </c>
    </row>
    <row r="636" spans="2:10" ht="15.75" customHeight="1" x14ac:dyDescent="0.25">
      <c r="B636" s="21">
        <f ca="1">IFERROR(__xludf.DUMMYFUNCTION("""COMPUTED_VALUE"""),45482.6666666666)</f>
        <v>45482.666666666599</v>
      </c>
      <c r="C636" s="22">
        <f ca="1">IFERROR(__xludf.DUMMYFUNCTION("""COMPUTED_VALUE"""),207.63)</f>
        <v>207.63</v>
      </c>
      <c r="D636" s="22">
        <v>102.61</v>
      </c>
      <c r="E636" s="23">
        <v>472.83</v>
      </c>
      <c r="G636" s="21">
        <f t="shared" ca="1" si="515"/>
        <v>45482.666666666599</v>
      </c>
      <c r="H636" s="19">
        <f t="shared" ref="H636:J636" ca="1" si="636">(C636/C635) - 1</f>
        <v>1.1990057025881073E-2</v>
      </c>
      <c r="I636" s="19">
        <f t="shared" si="636"/>
        <v>2.0081519037677742E-2</v>
      </c>
      <c r="J636" s="17">
        <f t="shared" si="636"/>
        <v>1.7232477087904874E-2</v>
      </c>
    </row>
    <row r="637" spans="2:10" ht="15.75" customHeight="1" x14ac:dyDescent="0.25">
      <c r="B637" s="21">
        <f ca="1">IFERROR(__xludf.DUMMYFUNCTION("""COMPUTED_VALUE"""),45483.6666666666)</f>
        <v>45483.666666666599</v>
      </c>
      <c r="C637" s="22">
        <f ca="1">IFERROR(__xludf.DUMMYFUNCTION("""COMPUTED_VALUE"""),207.8)</f>
        <v>207.8</v>
      </c>
      <c r="D637" s="22">
        <v>103.46</v>
      </c>
      <c r="E637" s="23">
        <v>478.89</v>
      </c>
      <c r="G637" s="21">
        <f t="shared" ca="1" si="515"/>
        <v>45483.666666666599</v>
      </c>
      <c r="H637" s="19">
        <f t="shared" ref="H637:J637" ca="1" si="637">(C637/C636) - 1</f>
        <v>8.1876414776282935E-4</v>
      </c>
      <c r="I637" s="19">
        <f t="shared" si="637"/>
        <v>8.2837930026311568E-3</v>
      </c>
      <c r="J637" s="17">
        <f t="shared" si="637"/>
        <v>1.2816445657001463E-2</v>
      </c>
    </row>
    <row r="638" spans="2:10" ht="15.75" customHeight="1" x14ac:dyDescent="0.25">
      <c r="B638" s="21">
        <f ca="1">IFERROR(__xludf.DUMMYFUNCTION("""COMPUTED_VALUE"""),45484.6666666666)</f>
        <v>45484.666666666599</v>
      </c>
      <c r="C638" s="22">
        <f ca="1">IFERROR(__xludf.DUMMYFUNCTION("""COMPUTED_VALUE"""),207.45)</f>
        <v>207.45</v>
      </c>
      <c r="D638" s="22">
        <v>104.64</v>
      </c>
      <c r="E638" s="23">
        <v>479.23</v>
      </c>
      <c r="G638" s="21">
        <f t="shared" ca="1" si="515"/>
        <v>45484.666666666599</v>
      </c>
      <c r="H638" s="19">
        <f t="shared" ref="H638:J638" ca="1" si="638">(C638/C637) - 1</f>
        <v>-1.6843118383061961E-3</v>
      </c>
      <c r="I638" s="19">
        <f t="shared" si="638"/>
        <v>1.1405374057606776E-2</v>
      </c>
      <c r="J638" s="17">
        <f t="shared" si="638"/>
        <v>7.0997515086967944E-4</v>
      </c>
    </row>
    <row r="639" spans="2:10" ht="15.75" customHeight="1" x14ac:dyDescent="0.25">
      <c r="B639" s="21">
        <f ca="1">IFERROR(__xludf.DUMMYFUNCTION("""COMPUTED_VALUE"""),45485.6666666666)</f>
        <v>45485.666666666599</v>
      </c>
      <c r="C639" s="22">
        <f ca="1">IFERROR(__xludf.DUMMYFUNCTION("""COMPUTED_VALUE"""),204.94)</f>
        <v>204.94</v>
      </c>
      <c r="D639" s="22">
        <v>104.09</v>
      </c>
      <c r="E639" s="23">
        <v>479.88</v>
      </c>
      <c r="G639" s="21">
        <f t="shared" ca="1" si="515"/>
        <v>45485.666666666599</v>
      </c>
      <c r="H639" s="19">
        <f t="shared" ref="H639:J639" ca="1" si="639">(C639/C638) - 1</f>
        <v>-1.2099301036394228E-2</v>
      </c>
      <c r="I639" s="19">
        <f t="shared" si="639"/>
        <v>-5.2561162079510781E-3</v>
      </c>
      <c r="J639" s="17">
        <f t="shared" si="639"/>
        <v>1.3563424660392176E-3</v>
      </c>
    </row>
    <row r="640" spans="2:10" ht="15.75" customHeight="1" x14ac:dyDescent="0.25">
      <c r="B640" s="21">
        <f ca="1">IFERROR(__xludf.DUMMYFUNCTION("""COMPUTED_VALUE"""),45488.6666666666)</f>
        <v>45488.666666666599</v>
      </c>
      <c r="C640" s="22">
        <f ca="1">IFERROR(__xludf.DUMMYFUNCTION("""COMPUTED_VALUE"""),210.05)</f>
        <v>210.05</v>
      </c>
      <c r="D640" s="22">
        <v>105.26</v>
      </c>
      <c r="E640" s="23">
        <v>492.23</v>
      </c>
      <c r="G640" s="21">
        <f t="shared" ca="1" si="515"/>
        <v>45488.666666666599</v>
      </c>
      <c r="H640" s="19">
        <f t="shared" ref="H640:J640" ca="1" si="640">(C640/C639) - 1</f>
        <v>2.4934127061579048E-2</v>
      </c>
      <c r="I640" s="19">
        <f t="shared" si="640"/>
        <v>1.124027284081075E-2</v>
      </c>
      <c r="J640" s="17">
        <f t="shared" si="640"/>
        <v>2.5735600566808348E-2</v>
      </c>
    </row>
    <row r="641" spans="2:10" ht="15.75" customHeight="1" x14ac:dyDescent="0.25">
      <c r="B641" s="21">
        <f ca="1">IFERROR(__xludf.DUMMYFUNCTION("""COMPUTED_VALUE"""),45489.6666666666)</f>
        <v>45489.666666666599</v>
      </c>
      <c r="C641" s="22">
        <f ca="1">IFERROR(__xludf.DUMMYFUNCTION("""COMPUTED_VALUE"""),213.62)</f>
        <v>213.62</v>
      </c>
      <c r="D641" s="22">
        <v>106.22</v>
      </c>
      <c r="E641" s="23">
        <v>503.02</v>
      </c>
      <c r="G641" s="21">
        <f t="shared" ca="1" si="515"/>
        <v>45489.666666666599</v>
      </c>
      <c r="H641" s="19">
        <f t="shared" ref="H641:J641" ca="1" si="641">(C641/C640) - 1</f>
        <v>1.6995953344441705E-2</v>
      </c>
      <c r="I641" s="19">
        <f t="shared" si="641"/>
        <v>9.1202736082081071E-3</v>
      </c>
      <c r="J641" s="17">
        <f t="shared" si="641"/>
        <v>2.1920646852081171E-2</v>
      </c>
    </row>
    <row r="642" spans="2:10" ht="15.75" customHeight="1" x14ac:dyDescent="0.25">
      <c r="B642" s="21">
        <f ca="1">IFERROR(__xludf.DUMMYFUNCTION("""COMPUTED_VALUE"""),45490.6666666666)</f>
        <v>45490.666666666599</v>
      </c>
      <c r="C642" s="22">
        <f ca="1">IFERROR(__xludf.DUMMYFUNCTION("""COMPUTED_VALUE"""),216.87)</f>
        <v>216.87</v>
      </c>
      <c r="D642" s="22">
        <v>106.96</v>
      </c>
      <c r="E642" s="23">
        <v>502.18</v>
      </c>
      <c r="G642" s="21">
        <f t="shared" ca="1" si="515"/>
        <v>45490.666666666599</v>
      </c>
      <c r="H642" s="19">
        <f t="shared" ref="H642:J642" ca="1" si="642">(C642/C641) - 1</f>
        <v>1.5213931279842718E-2</v>
      </c>
      <c r="I642" s="19">
        <f t="shared" si="642"/>
        <v>6.9666729429485041E-3</v>
      </c>
      <c r="J642" s="17">
        <f t="shared" si="642"/>
        <v>-1.6699137211243498E-3</v>
      </c>
    </row>
    <row r="643" spans="2:10" ht="15.75" customHeight="1" x14ac:dyDescent="0.25">
      <c r="B643" s="21">
        <f ca="1">IFERROR(__xludf.DUMMYFUNCTION("""COMPUTED_VALUE"""),45491.6666666666)</f>
        <v>45491.666666666599</v>
      </c>
      <c r="C643" s="22">
        <f ca="1">IFERROR(__xludf.DUMMYFUNCTION("""COMPUTED_VALUE"""),209.98)</f>
        <v>209.98</v>
      </c>
      <c r="D643" s="22">
        <v>104.81</v>
      </c>
      <c r="E643" s="23">
        <v>486.21</v>
      </c>
      <c r="G643" s="21">
        <f t="shared" ca="1" si="515"/>
        <v>45491.666666666599</v>
      </c>
      <c r="H643" s="19">
        <f t="shared" ref="H643:J643" ca="1" si="643">(C643/C642) - 1</f>
        <v>-3.1770184903398446E-2</v>
      </c>
      <c r="I643" s="19">
        <f t="shared" si="643"/>
        <v>-2.0100972326103084E-2</v>
      </c>
      <c r="J643" s="17">
        <f t="shared" si="643"/>
        <v>-3.180134613086949E-2</v>
      </c>
    </row>
    <row r="644" spans="2:10" ht="15.75" customHeight="1" x14ac:dyDescent="0.25">
      <c r="B644" s="21">
        <f ca="1">IFERROR(__xludf.DUMMYFUNCTION("""COMPUTED_VALUE"""),45492.6666666666)</f>
        <v>45492.666666666599</v>
      </c>
      <c r="C644" s="22">
        <f ca="1">IFERROR(__xludf.DUMMYFUNCTION("""COMPUTED_VALUE"""),209.78)</f>
        <v>209.78</v>
      </c>
      <c r="D644" s="22">
        <v>102.09</v>
      </c>
      <c r="E644" s="23">
        <v>484.93</v>
      </c>
      <c r="G644" s="21">
        <f t="shared" ca="1" si="515"/>
        <v>45492.666666666599</v>
      </c>
      <c r="H644" s="19">
        <f t="shared" ref="H644:J644" ca="1" si="644">(C644/C643) - 1</f>
        <v>-9.5247166396794647E-4</v>
      </c>
      <c r="I644" s="19">
        <f t="shared" si="644"/>
        <v>-2.5951722163915614E-2</v>
      </c>
      <c r="J644" s="17">
        <f t="shared" si="644"/>
        <v>-2.632607309598689E-3</v>
      </c>
    </row>
    <row r="645" spans="2:10" ht="15.75" customHeight="1" x14ac:dyDescent="0.25">
      <c r="B645" s="21">
        <f ca="1">IFERROR(__xludf.DUMMYFUNCTION("""COMPUTED_VALUE"""),45495.6666666666)</f>
        <v>45495.666666666599</v>
      </c>
      <c r="C645" s="22">
        <f ca="1">IFERROR(__xludf.DUMMYFUNCTION("""COMPUTED_VALUE"""),210.28)</f>
        <v>210.28</v>
      </c>
      <c r="D645" s="22">
        <v>102.44</v>
      </c>
      <c r="E645" s="23">
        <v>487.04</v>
      </c>
      <c r="G645" s="21">
        <f t="shared" ca="1" si="515"/>
        <v>45495.666666666599</v>
      </c>
      <c r="H645" s="19">
        <f t="shared" ref="H645:J645" ca="1" si="645">(C645/C644) - 1</f>
        <v>2.3834493278673818E-3</v>
      </c>
      <c r="I645" s="19">
        <f t="shared" si="645"/>
        <v>3.4283475364873528E-3</v>
      </c>
      <c r="J645" s="17">
        <f t="shared" si="645"/>
        <v>4.3511434640051139E-3</v>
      </c>
    </row>
    <row r="646" spans="2:10" ht="15.75" customHeight="1" x14ac:dyDescent="0.25">
      <c r="B646" s="21">
        <f ca="1">IFERROR(__xludf.DUMMYFUNCTION("""COMPUTED_VALUE"""),45496.6666666666)</f>
        <v>45496.666666666599</v>
      </c>
      <c r="C646" s="22">
        <f ca="1">IFERROR(__xludf.DUMMYFUNCTION("""COMPUTED_VALUE"""),210.33)</f>
        <v>210.33</v>
      </c>
      <c r="D646" s="22">
        <v>103.5</v>
      </c>
      <c r="E646" s="23">
        <v>492.15</v>
      </c>
      <c r="G646" s="21">
        <f t="shared" ca="1" si="515"/>
        <v>45496.666666666599</v>
      </c>
      <c r="H646" s="19">
        <f t="shared" ref="H646:J646" ca="1" si="646">(C646/C645) - 1</f>
        <v>2.3777820049453169E-4</v>
      </c>
      <c r="I646" s="19">
        <f t="shared" si="646"/>
        <v>1.0347520499804697E-2</v>
      </c>
      <c r="J646" s="17">
        <f t="shared" si="646"/>
        <v>1.0491951379763442E-2</v>
      </c>
    </row>
    <row r="647" spans="2:10" ht="15.75" customHeight="1" x14ac:dyDescent="0.25">
      <c r="B647" s="21">
        <f ca="1">IFERROR(__xludf.DUMMYFUNCTION("""COMPUTED_VALUE"""),45497.6666666666)</f>
        <v>45497.666666666599</v>
      </c>
      <c r="C647" s="22">
        <f ca="1">IFERROR(__xludf.DUMMYFUNCTION("""COMPUTED_VALUE"""),208.59)</f>
        <v>208.59</v>
      </c>
      <c r="D647" s="22">
        <v>101.97</v>
      </c>
      <c r="E647" s="23">
        <v>486.7</v>
      </c>
      <c r="G647" s="21">
        <f t="shared" ca="1" si="515"/>
        <v>45497.666666666599</v>
      </c>
      <c r="H647" s="19">
        <f t="shared" ref="H647:J647" ca="1" si="647">(C647/C646) - 1</f>
        <v>-8.2727143060904451E-3</v>
      </c>
      <c r="I647" s="19">
        <f t="shared" si="647"/>
        <v>-1.4782608695652177E-2</v>
      </c>
      <c r="J647" s="17">
        <f t="shared" si="647"/>
        <v>-1.1073859595651658E-2</v>
      </c>
    </row>
    <row r="648" spans="2:10" ht="15.75" customHeight="1" x14ac:dyDescent="0.25">
      <c r="B648" s="21">
        <f ca="1">IFERROR(__xludf.DUMMYFUNCTION("""COMPUTED_VALUE"""),45498.6666666666)</f>
        <v>45498.666666666599</v>
      </c>
      <c r="C648" s="22">
        <f ca="1">IFERROR(__xludf.DUMMYFUNCTION("""COMPUTED_VALUE"""),208.67)</f>
        <v>208.67</v>
      </c>
      <c r="D648" s="22">
        <v>103.56</v>
      </c>
      <c r="E648" s="23">
        <v>491.71</v>
      </c>
      <c r="G648" s="21">
        <f t="shared" ca="1" si="515"/>
        <v>45498.666666666599</v>
      </c>
      <c r="H648" s="19">
        <f t="shared" ref="H648:J648" ca="1" si="648">(C648/C647) - 1</f>
        <v>3.8352749412706721E-4</v>
      </c>
      <c r="I648" s="19">
        <f t="shared" si="648"/>
        <v>1.5592821418064062E-2</v>
      </c>
      <c r="J648" s="17">
        <f t="shared" si="648"/>
        <v>1.029381549208952E-2</v>
      </c>
    </row>
    <row r="649" spans="2:10" ht="15.75" customHeight="1" x14ac:dyDescent="0.25">
      <c r="B649" s="21">
        <f ca="1">IFERROR(__xludf.DUMMYFUNCTION("""COMPUTED_VALUE"""),45499.6666666666)</f>
        <v>45499.666666666599</v>
      </c>
      <c r="C649" s="22">
        <f ca="1">IFERROR(__xludf.DUMMYFUNCTION("""COMPUTED_VALUE"""),212.24)</f>
        <v>212.24</v>
      </c>
      <c r="D649" s="22">
        <v>104.19</v>
      </c>
      <c r="E649" s="23">
        <v>499.03</v>
      </c>
      <c r="G649" s="21">
        <f t="shared" ca="1" si="515"/>
        <v>45499.666666666599</v>
      </c>
      <c r="H649" s="19">
        <f t="shared" ref="H649:J649" ca="1" si="649">(C649/C648) - 1</f>
        <v>1.7108352901710866E-2</v>
      </c>
      <c r="I649" s="19">
        <f t="shared" si="649"/>
        <v>6.0834298957126443E-3</v>
      </c>
      <c r="J649" s="17">
        <f t="shared" si="649"/>
        <v>1.4886823534197013E-2</v>
      </c>
    </row>
    <row r="650" spans="2:10" ht="15.75" customHeight="1" x14ac:dyDescent="0.25">
      <c r="B650" s="21">
        <f ca="1">IFERROR(__xludf.DUMMYFUNCTION("""COMPUTED_VALUE"""),45502.6666666666)</f>
        <v>45502.666666666599</v>
      </c>
      <c r="C650" s="22">
        <f ca="1">IFERROR(__xludf.DUMMYFUNCTION("""COMPUTED_VALUE"""),210.85)</f>
        <v>210.85</v>
      </c>
      <c r="D650" s="22">
        <v>102.48</v>
      </c>
      <c r="E650" s="23">
        <v>492.72</v>
      </c>
      <c r="G650" s="21">
        <f t="shared" ca="1" si="515"/>
        <v>45502.666666666599</v>
      </c>
      <c r="H650" s="19">
        <f t="shared" ref="H650:J650" ca="1" si="650">(C650/C649) - 1</f>
        <v>-6.5491895966830471E-3</v>
      </c>
      <c r="I650" s="19">
        <f t="shared" si="650"/>
        <v>-1.6412323639504733E-2</v>
      </c>
      <c r="J650" s="17">
        <f t="shared" si="650"/>
        <v>-1.2644530388954411E-2</v>
      </c>
    </row>
    <row r="651" spans="2:10" ht="15.75" customHeight="1" x14ac:dyDescent="0.25">
      <c r="B651" s="21">
        <f ca="1">IFERROR(__xludf.DUMMYFUNCTION("""COMPUTED_VALUE"""),45503.6666666666)</f>
        <v>45503.666666666599</v>
      </c>
      <c r="C651" s="22">
        <f ca="1">IFERROR(__xludf.DUMMYFUNCTION("""COMPUTED_VALUE"""),215.19)</f>
        <v>215.19</v>
      </c>
      <c r="D651" s="22">
        <v>103.76</v>
      </c>
      <c r="E651" s="23">
        <v>505.67</v>
      </c>
      <c r="G651" s="21">
        <f t="shared" ca="1" si="515"/>
        <v>45503.666666666599</v>
      </c>
      <c r="H651" s="19">
        <f t="shared" ref="H651:J651" ca="1" si="651">(C651/C650) - 1</f>
        <v>2.0583353094617118E-2</v>
      </c>
      <c r="I651" s="19">
        <f t="shared" si="651"/>
        <v>1.2490241998438734E-2</v>
      </c>
      <c r="J651" s="17">
        <f t="shared" si="651"/>
        <v>2.6282675759051743E-2</v>
      </c>
    </row>
    <row r="652" spans="2:10" ht="15.75" customHeight="1" x14ac:dyDescent="0.25">
      <c r="B652" s="21">
        <f ca="1">IFERROR(__xludf.DUMMYFUNCTION("""COMPUTED_VALUE"""),45504.6666666666)</f>
        <v>45504.666666666599</v>
      </c>
      <c r="C652" s="22">
        <f ca="1">IFERROR(__xludf.DUMMYFUNCTION("""COMPUTED_VALUE"""),212.8)</f>
        <v>212.8</v>
      </c>
      <c r="D652" s="22">
        <v>103.21</v>
      </c>
      <c r="E652" s="23">
        <v>509.03</v>
      </c>
      <c r="G652" s="21">
        <f t="shared" ca="1" si="515"/>
        <v>45504.666666666599</v>
      </c>
      <c r="H652" s="19">
        <f t="shared" ref="H652:J652" ca="1" si="652">(C652/C651) - 1</f>
        <v>-1.1106464055021026E-2</v>
      </c>
      <c r="I652" s="19">
        <f t="shared" si="652"/>
        <v>-5.3006939090208816E-3</v>
      </c>
      <c r="J652" s="17">
        <f t="shared" si="652"/>
        <v>6.644649672711278E-3</v>
      </c>
    </row>
    <row r="653" spans="2:10" ht="15.75" customHeight="1" x14ac:dyDescent="0.25">
      <c r="B653" s="21">
        <f ca="1">IFERROR(__xludf.DUMMYFUNCTION("""COMPUTED_VALUE"""),45505.6666666666)</f>
        <v>45505.666666666599</v>
      </c>
      <c r="C653" s="22">
        <f ca="1">IFERROR(__xludf.DUMMYFUNCTION("""COMPUTED_VALUE"""),207.96)</f>
        <v>207.96</v>
      </c>
      <c r="D653" s="22">
        <v>101.76</v>
      </c>
      <c r="E653" s="23">
        <v>500.12</v>
      </c>
      <c r="G653" s="21">
        <f t="shared" ca="1" si="515"/>
        <v>45505.666666666599</v>
      </c>
      <c r="H653" s="19">
        <f t="shared" ref="H653:J653" ca="1" si="653">(C653/C652) - 1</f>
        <v>-2.2744360902255623E-2</v>
      </c>
      <c r="I653" s="19">
        <f t="shared" si="653"/>
        <v>-1.4049026257145547E-2</v>
      </c>
      <c r="J653" s="17">
        <f t="shared" si="653"/>
        <v>-1.7503879928491339E-2</v>
      </c>
    </row>
    <row r="654" spans="2:10" ht="15.75" customHeight="1" x14ac:dyDescent="0.25">
      <c r="B654" s="21">
        <f ca="1">IFERROR(__xludf.DUMMYFUNCTION("""COMPUTED_VALUE"""),45506.6666666666)</f>
        <v>45506.666666666599</v>
      </c>
      <c r="C654" s="22">
        <f ca="1">IFERROR(__xludf.DUMMYFUNCTION("""COMPUTED_VALUE"""),199.14)</f>
        <v>199.14</v>
      </c>
      <c r="D654" s="22">
        <v>95.85</v>
      </c>
      <c r="E654" s="23">
        <v>470.64</v>
      </c>
      <c r="G654" s="21">
        <f t="shared" ca="1" si="515"/>
        <v>45506.666666666599</v>
      </c>
      <c r="H654" s="19">
        <f t="shared" ref="H654:J654" ca="1" si="654">(C654/C653) - 1</f>
        <v>-4.2412002308136243E-2</v>
      </c>
      <c r="I654" s="19">
        <f t="shared" si="654"/>
        <v>-5.8077830188679402E-2</v>
      </c>
      <c r="J654" s="17">
        <f t="shared" si="654"/>
        <v>-5.8945852995281212E-2</v>
      </c>
    </row>
    <row r="655" spans="2:10" ht="15.75" customHeight="1" x14ac:dyDescent="0.25">
      <c r="B655" s="21">
        <f ca="1">IFERROR(__xludf.DUMMYFUNCTION("""COMPUTED_VALUE"""),45509.6666666666)</f>
        <v>45509.666666666599</v>
      </c>
      <c r="C655" s="22">
        <f ca="1">IFERROR(__xludf.DUMMYFUNCTION("""COMPUTED_VALUE"""),194.9)</f>
        <v>194.9</v>
      </c>
      <c r="D655" s="22">
        <v>92.07</v>
      </c>
      <c r="E655" s="23">
        <v>459.02</v>
      </c>
      <c r="G655" s="21">
        <f t="shared" ca="1" si="515"/>
        <v>45509.666666666599</v>
      </c>
      <c r="H655" s="19">
        <f t="shared" ref="H655:J655" ca="1" si="655">(C655/C654) - 1</f>
        <v>-2.1291553680827469E-2</v>
      </c>
      <c r="I655" s="19">
        <f t="shared" si="655"/>
        <v>-3.9436619718309918E-2</v>
      </c>
      <c r="J655" s="17">
        <f t="shared" si="655"/>
        <v>-2.468978412374645E-2</v>
      </c>
    </row>
    <row r="656" spans="2:10" ht="15.75" customHeight="1" x14ac:dyDescent="0.25">
      <c r="B656" s="21">
        <f ca="1">IFERROR(__xludf.DUMMYFUNCTION("""COMPUTED_VALUE"""),45510.6666666666)</f>
        <v>45510.666666666599</v>
      </c>
      <c r="C656" s="22">
        <f ca="1">IFERROR(__xludf.DUMMYFUNCTION("""COMPUTED_VALUE"""),200.34)</f>
        <v>200.34</v>
      </c>
      <c r="D656" s="22">
        <v>92.97</v>
      </c>
      <c r="E656" s="23">
        <v>470.22</v>
      </c>
      <c r="G656" s="21">
        <f t="shared" ca="1" si="515"/>
        <v>45510.666666666599</v>
      </c>
      <c r="H656" s="19">
        <f t="shared" ref="H656:J656" ca="1" si="656">(C656/C655) - 1</f>
        <v>2.7911749615187276E-2</v>
      </c>
      <c r="I656" s="19">
        <f t="shared" si="656"/>
        <v>9.7751710654936375E-3</v>
      </c>
      <c r="J656" s="17">
        <f t="shared" si="656"/>
        <v>2.439980828722077E-2</v>
      </c>
    </row>
    <row r="657" spans="2:10" ht="15.75" customHeight="1" x14ac:dyDescent="0.25">
      <c r="B657" s="21">
        <f ca="1">IFERROR(__xludf.DUMMYFUNCTION("""COMPUTED_VALUE"""),45511.6666666666)</f>
        <v>45511.666666666599</v>
      </c>
      <c r="C657" s="22">
        <f ca="1">IFERROR(__xludf.DUMMYFUNCTION("""COMPUTED_VALUE"""),200.4)</f>
        <v>200.4</v>
      </c>
      <c r="D657" s="22">
        <v>92.11</v>
      </c>
      <c r="E657" s="23">
        <v>473.01</v>
      </c>
      <c r="G657" s="21">
        <f t="shared" ca="1" si="515"/>
        <v>45511.666666666599</v>
      </c>
      <c r="H657" s="19">
        <f t="shared" ref="H657:J657" ca="1" si="657">(C657/C656) - 1</f>
        <v>2.9949086552871762E-4</v>
      </c>
      <c r="I657" s="19">
        <f t="shared" si="657"/>
        <v>-9.2502957943422226E-3</v>
      </c>
      <c r="J657" s="17">
        <f t="shared" si="657"/>
        <v>5.9333928799285562E-3</v>
      </c>
    </row>
    <row r="658" spans="2:10" ht="15.75" customHeight="1" x14ac:dyDescent="0.25">
      <c r="B658" s="21">
        <f ca="1">IFERROR(__xludf.DUMMYFUNCTION("""COMPUTED_VALUE"""),45512.6666666666)</f>
        <v>45512.666666666599</v>
      </c>
      <c r="C658" s="22">
        <f ca="1">IFERROR(__xludf.DUMMYFUNCTION("""COMPUTED_VALUE"""),204.06)</f>
        <v>204.06</v>
      </c>
      <c r="D658" s="22">
        <v>94.63</v>
      </c>
      <c r="E658" s="23">
        <v>485.77</v>
      </c>
      <c r="G658" s="21">
        <f t="shared" ca="1" si="515"/>
        <v>45512.666666666599</v>
      </c>
      <c r="H658" s="19">
        <f t="shared" ref="H658:J658" ca="1" si="658">(C658/C657) - 1</f>
        <v>1.8263473053892199E-2</v>
      </c>
      <c r="I658" s="19">
        <f t="shared" si="658"/>
        <v>2.7358592986646446E-2</v>
      </c>
      <c r="J658" s="17">
        <f t="shared" si="658"/>
        <v>2.6976173865245867E-2</v>
      </c>
    </row>
    <row r="659" spans="2:10" ht="15.75" customHeight="1" x14ac:dyDescent="0.25">
      <c r="B659" s="21">
        <f ca="1">IFERROR(__xludf.DUMMYFUNCTION("""COMPUTED_VALUE"""),45513.6666666666)</f>
        <v>45513.666666666599</v>
      </c>
      <c r="C659" s="22">
        <f ca="1">IFERROR(__xludf.DUMMYFUNCTION("""COMPUTED_VALUE"""),205.8)</f>
        <v>205.8</v>
      </c>
      <c r="D659" s="22">
        <v>94.72</v>
      </c>
      <c r="E659" s="23">
        <v>490.26</v>
      </c>
      <c r="G659" s="21">
        <f t="shared" ca="1" si="515"/>
        <v>45513.666666666599</v>
      </c>
      <c r="H659" s="19">
        <f t="shared" ref="H659:J659" ca="1" si="659">(C659/C658) - 1</f>
        <v>8.5269038518083207E-3</v>
      </c>
      <c r="I659" s="19">
        <f t="shared" si="659"/>
        <v>9.5107259854176895E-4</v>
      </c>
      <c r="J659" s="17">
        <f t="shared" si="659"/>
        <v>9.2430574140025534E-3</v>
      </c>
    </row>
    <row r="660" spans="2:10" ht="15.75" customHeight="1" x14ac:dyDescent="0.25">
      <c r="B660" s="21">
        <f ca="1">IFERROR(__xludf.DUMMYFUNCTION("""COMPUTED_VALUE"""),45516.6666666666)</f>
        <v>45516.666666666599</v>
      </c>
      <c r="C660" s="22">
        <f ca="1">IFERROR(__xludf.DUMMYFUNCTION("""COMPUTED_VALUE"""),206.19)</f>
        <v>206.19</v>
      </c>
      <c r="D660" s="22">
        <v>94.84</v>
      </c>
      <c r="E660" s="23">
        <v>485.5</v>
      </c>
      <c r="G660" s="21">
        <f t="shared" ca="1" si="515"/>
        <v>45516.666666666599</v>
      </c>
      <c r="H660" s="19">
        <f t="shared" ref="H660:J660" ca="1" si="660">(C660/C659) - 1</f>
        <v>1.8950437317784008E-3</v>
      </c>
      <c r="I660" s="19">
        <f t="shared" si="660"/>
        <v>1.2668918918918859E-3</v>
      </c>
      <c r="J660" s="17">
        <f t="shared" si="660"/>
        <v>-9.7091339289356871E-3</v>
      </c>
    </row>
    <row r="661" spans="2:10" ht="15.75" customHeight="1" x14ac:dyDescent="0.25">
      <c r="B661" s="21">
        <f ca="1">IFERROR(__xludf.DUMMYFUNCTION("""COMPUTED_VALUE"""),45517.6666666666)</f>
        <v>45517.666666666599</v>
      </c>
      <c r="C661" s="22">
        <f ca="1">IFERROR(__xludf.DUMMYFUNCTION("""COMPUTED_VALUE"""),207.94)</f>
        <v>207.94</v>
      </c>
      <c r="D661" s="22">
        <v>96.71</v>
      </c>
      <c r="E661" s="23">
        <v>491.94</v>
      </c>
      <c r="G661" s="21">
        <f t="shared" ca="1" si="515"/>
        <v>45517.666666666599</v>
      </c>
      <c r="H661" s="19">
        <f t="shared" ref="H661:J661" ca="1" si="661">(C661/C660) - 1</f>
        <v>8.4873175226731767E-3</v>
      </c>
      <c r="I661" s="19">
        <f t="shared" si="661"/>
        <v>1.9717418810628384E-2</v>
      </c>
      <c r="J661" s="17">
        <f t="shared" si="661"/>
        <v>1.3264675592173036E-2</v>
      </c>
    </row>
    <row r="662" spans="2:10" ht="15.75" customHeight="1" x14ac:dyDescent="0.25">
      <c r="B662" s="21">
        <f ca="1">IFERROR(__xludf.DUMMYFUNCTION("""COMPUTED_VALUE"""),45518.6666666666)</f>
        <v>45518.666666666599</v>
      </c>
      <c r="C662" s="22">
        <f ca="1">IFERROR(__xludf.DUMMYFUNCTION("""COMPUTED_VALUE"""),210.24)</f>
        <v>210.24</v>
      </c>
      <c r="D662" s="22">
        <v>99.44</v>
      </c>
      <c r="E662" s="23">
        <v>498.7</v>
      </c>
      <c r="G662" s="21">
        <f t="shared" ca="1" si="515"/>
        <v>45518.666666666599</v>
      </c>
      <c r="H662" s="19">
        <f t="shared" ref="H662:J662" ca="1" si="662">(C662/C661) - 1</f>
        <v>1.1060882947004025E-2</v>
      </c>
      <c r="I662" s="19">
        <f t="shared" si="662"/>
        <v>2.8228725054286086E-2</v>
      </c>
      <c r="J662" s="17">
        <f t="shared" si="662"/>
        <v>1.37415131926657E-2</v>
      </c>
    </row>
    <row r="663" spans="2:10" ht="15.75" customHeight="1" x14ac:dyDescent="0.25">
      <c r="B663" s="21">
        <f ca="1">IFERROR(__xludf.DUMMYFUNCTION("""COMPUTED_VALUE"""),45519.6666666666)</f>
        <v>45519.666666666599</v>
      </c>
      <c r="C663" s="22">
        <f ca="1">IFERROR(__xludf.DUMMYFUNCTION("""COMPUTED_VALUE"""),211.55)</f>
        <v>211.55</v>
      </c>
      <c r="D663" s="22">
        <v>100.64</v>
      </c>
      <c r="E663" s="23">
        <v>499.02</v>
      </c>
      <c r="G663" s="21">
        <f t="shared" ca="1" si="515"/>
        <v>45519.666666666599</v>
      </c>
      <c r="H663" s="19">
        <f t="shared" ref="H663:J663" ca="1" si="663">(C663/C662) - 1</f>
        <v>6.2309741248096628E-3</v>
      </c>
      <c r="I663" s="19">
        <f t="shared" si="663"/>
        <v>1.2067578439259874E-2</v>
      </c>
      <c r="J663" s="17">
        <f t="shared" si="663"/>
        <v>6.4166833767798082E-4</v>
      </c>
    </row>
    <row r="664" spans="2:10" ht="15.75" customHeight="1" x14ac:dyDescent="0.25">
      <c r="B664" s="21">
        <f ca="1">IFERROR(__xludf.DUMMYFUNCTION("""COMPUTED_VALUE"""),45520.6666666666)</f>
        <v>45520.666666666599</v>
      </c>
      <c r="C664" s="22">
        <f ca="1">IFERROR(__xludf.DUMMYFUNCTION("""COMPUTED_VALUE"""),213.97)</f>
        <v>213.97</v>
      </c>
      <c r="D664" s="22">
        <v>101.44</v>
      </c>
      <c r="E664" s="23">
        <v>504.26</v>
      </c>
      <c r="G664" s="21">
        <f t="shared" ca="1" si="515"/>
        <v>45520.666666666599</v>
      </c>
      <c r="H664" s="19">
        <f t="shared" ref="H664:J664" ca="1" si="664">(C664/C663) - 1</f>
        <v>1.1439376034034554E-2</v>
      </c>
      <c r="I664" s="19">
        <f t="shared" si="664"/>
        <v>7.9491255961843255E-3</v>
      </c>
      <c r="J664" s="17">
        <f t="shared" si="664"/>
        <v>1.0500581139032628E-2</v>
      </c>
    </row>
    <row r="665" spans="2:10" ht="15.75" customHeight="1" x14ac:dyDescent="0.25">
      <c r="B665" s="21">
        <f ca="1">IFERROR(__xludf.DUMMYFUNCTION("""COMPUTED_VALUE"""),45523.6666666666)</f>
        <v>45523.666666666599</v>
      </c>
      <c r="C665" s="22">
        <f ca="1">IFERROR(__xludf.DUMMYFUNCTION("""COMPUTED_VALUE"""),215.45)</f>
        <v>215.45</v>
      </c>
      <c r="D665" s="22">
        <v>101.75</v>
      </c>
      <c r="E665" s="23">
        <v>504.68</v>
      </c>
      <c r="G665" s="21">
        <f t="shared" ca="1" si="515"/>
        <v>45523.666666666599</v>
      </c>
      <c r="H665" s="19">
        <f t="shared" ref="H665:J665" ca="1" si="665">(C665/C664) - 1</f>
        <v>6.9168575033882185E-3</v>
      </c>
      <c r="I665" s="19">
        <f t="shared" si="665"/>
        <v>3.0559936908518548E-3</v>
      </c>
      <c r="J665" s="17">
        <f t="shared" si="665"/>
        <v>8.3290366080990275E-4</v>
      </c>
    </row>
    <row r="666" spans="2:10" ht="15.75" customHeight="1" x14ac:dyDescent="0.25">
      <c r="B666" s="21">
        <f ca="1">IFERROR(__xludf.DUMMYFUNCTION("""COMPUTED_VALUE"""),45524.6666666666)</f>
        <v>45524.666666666599</v>
      </c>
      <c r="C666" s="22">
        <f ca="1">IFERROR(__xludf.DUMMYFUNCTION("""COMPUTED_VALUE"""),214.52)</f>
        <v>214.52</v>
      </c>
      <c r="D666" s="22">
        <v>100.78</v>
      </c>
      <c r="E666" s="23">
        <v>497.34</v>
      </c>
      <c r="G666" s="21">
        <f t="shared" ca="1" si="515"/>
        <v>45524.666666666599</v>
      </c>
      <c r="H666" s="19">
        <f t="shared" ref="H666:J666" ca="1" si="666">(C666/C665) - 1</f>
        <v>-4.3165467625898568E-3</v>
      </c>
      <c r="I666" s="19">
        <f t="shared" si="666"/>
        <v>-9.5331695331695165E-3</v>
      </c>
      <c r="J666" s="17">
        <f t="shared" si="666"/>
        <v>-1.4543869382579122E-2</v>
      </c>
    </row>
    <row r="667" spans="2:10" ht="15.75" customHeight="1" x14ac:dyDescent="0.25">
      <c r="B667" s="21">
        <f ca="1">IFERROR(__xludf.DUMMYFUNCTION("""COMPUTED_VALUE"""),45525.6666666666)</f>
        <v>45525.666666666599</v>
      </c>
      <c r="C667" s="22">
        <f ca="1">IFERROR(__xludf.DUMMYFUNCTION("""COMPUTED_VALUE"""),214.6)</f>
        <v>214.6</v>
      </c>
      <c r="D667" s="22">
        <v>100.69</v>
      </c>
      <c r="E667" s="23">
        <v>496.46</v>
      </c>
      <c r="G667" s="21">
        <f t="shared" ca="1" si="515"/>
        <v>45525.666666666599</v>
      </c>
      <c r="H667" s="19">
        <f t="shared" ref="H667:J667" ca="1" si="667">(C667/C666) - 1</f>
        <v>3.7292560134249975E-4</v>
      </c>
      <c r="I667" s="19">
        <f t="shared" si="667"/>
        <v>-8.9303433220877526E-4</v>
      </c>
      <c r="J667" s="17">
        <f t="shared" si="667"/>
        <v>-1.7694132786423289E-3</v>
      </c>
    </row>
    <row r="668" spans="2:10" ht="15.75" customHeight="1" x14ac:dyDescent="0.25">
      <c r="B668" s="21">
        <f ca="1">IFERROR(__xludf.DUMMYFUNCTION("""COMPUTED_VALUE"""),45526.6666666666)</f>
        <v>45526.666666666599</v>
      </c>
      <c r="C668" s="22">
        <f ca="1">IFERROR(__xludf.DUMMYFUNCTION("""COMPUTED_VALUE"""),216.63)</f>
        <v>216.63</v>
      </c>
      <c r="D668" s="22">
        <v>100.56</v>
      </c>
      <c r="E668" s="23">
        <v>497.75</v>
      </c>
      <c r="G668" s="21">
        <f t="shared" ca="1" si="515"/>
        <v>45526.666666666599</v>
      </c>
      <c r="H668" s="19">
        <f t="shared" ref="H668:J668" ca="1" si="668">(C668/C667) - 1</f>
        <v>9.4594594594594739E-3</v>
      </c>
      <c r="I668" s="19">
        <f t="shared" si="668"/>
        <v>-1.2910914688647468E-3</v>
      </c>
      <c r="J668" s="17">
        <f t="shared" si="668"/>
        <v>2.598396648269885E-3</v>
      </c>
    </row>
    <row r="669" spans="2:10" ht="15.75" customHeight="1" x14ac:dyDescent="0.25">
      <c r="B669" s="21">
        <f ca="1">IFERROR(__xludf.DUMMYFUNCTION("""COMPUTED_VALUE"""),45527.6666666666)</f>
        <v>45527.666666666599</v>
      </c>
      <c r="C669" s="22">
        <f ca="1">IFERROR(__xludf.DUMMYFUNCTION("""COMPUTED_VALUE"""),218.31)</f>
        <v>218.31</v>
      </c>
      <c r="D669" s="22">
        <v>101.89</v>
      </c>
      <c r="E669" s="23">
        <v>509.42</v>
      </c>
      <c r="G669" s="21">
        <f t="shared" ca="1" si="515"/>
        <v>45527.666666666599</v>
      </c>
      <c r="H669" s="19">
        <f t="shared" ref="H669:J669" ca="1" si="669">(C669/C668) - 1</f>
        <v>7.7551585652957389E-3</v>
      </c>
      <c r="I669" s="19">
        <f t="shared" si="669"/>
        <v>1.3225934765314307E-2</v>
      </c>
      <c r="J669" s="17">
        <f t="shared" si="669"/>
        <v>2.344550477147167E-2</v>
      </c>
    </row>
    <row r="670" spans="2:10" ht="15.75" customHeight="1" x14ac:dyDescent="0.25">
      <c r="B670" s="21">
        <f ca="1">IFERROR(__xludf.DUMMYFUNCTION("""COMPUTED_VALUE"""),45530.6666666666)</f>
        <v>45530.666666666599</v>
      </c>
      <c r="C670" s="22">
        <f ca="1">IFERROR(__xludf.DUMMYFUNCTION("""COMPUTED_VALUE"""),219.17)</f>
        <v>219.17</v>
      </c>
      <c r="D670" s="22">
        <v>102.33</v>
      </c>
      <c r="E670" s="23">
        <v>507.87</v>
      </c>
      <c r="G670" s="21">
        <f t="shared" ca="1" si="515"/>
        <v>45530.666666666599</v>
      </c>
      <c r="H670" s="19">
        <f t="shared" ref="H670:J670" ca="1" si="670">(C670/C669) - 1</f>
        <v>3.9393522971920003E-3</v>
      </c>
      <c r="I670" s="19">
        <f t="shared" si="670"/>
        <v>4.3183825694375066E-3</v>
      </c>
      <c r="J670" s="17">
        <f t="shared" si="670"/>
        <v>-3.0426759844529583E-3</v>
      </c>
    </row>
    <row r="671" spans="2:10" ht="15.75" customHeight="1" x14ac:dyDescent="0.25">
      <c r="B671" s="21">
        <f ca="1">IFERROR(__xludf.DUMMYFUNCTION("""COMPUTED_VALUE"""),45531.6666666666)</f>
        <v>45531.666666666599</v>
      </c>
      <c r="C671" s="22">
        <f ca="1">IFERROR(__xludf.DUMMYFUNCTION("""COMPUTED_VALUE"""),220.18)</f>
        <v>220.18</v>
      </c>
      <c r="D671" s="22">
        <v>102.08</v>
      </c>
      <c r="E671" s="23">
        <v>507.26</v>
      </c>
      <c r="G671" s="21">
        <f t="shared" ca="1" si="515"/>
        <v>45531.666666666599</v>
      </c>
      <c r="H671" s="19">
        <f t="shared" ref="H671:J671" ca="1" si="671">(C671/C670) - 1</f>
        <v>4.6082949308756671E-3</v>
      </c>
      <c r="I671" s="19">
        <f t="shared" si="671"/>
        <v>-2.4430763217042628E-3</v>
      </c>
      <c r="J671" s="17">
        <f t="shared" si="671"/>
        <v>-1.2010947683462891E-3</v>
      </c>
    </row>
    <row r="672" spans="2:10" ht="15.75" customHeight="1" x14ac:dyDescent="0.25">
      <c r="B672" s="21">
        <f ca="1">IFERROR(__xludf.DUMMYFUNCTION("""COMPUTED_VALUE"""),45532.6666666666)</f>
        <v>45532.666666666599</v>
      </c>
      <c r="C672" s="22">
        <f ca="1">IFERROR(__xludf.DUMMYFUNCTION("""COMPUTED_VALUE"""),221.29)</f>
        <v>221.29</v>
      </c>
      <c r="D672" s="22">
        <v>102.2</v>
      </c>
      <c r="E672" s="23">
        <v>503.33</v>
      </c>
      <c r="G672" s="21">
        <f t="shared" ca="1" si="515"/>
        <v>45532.666666666599</v>
      </c>
      <c r="H672" s="19">
        <f t="shared" ref="H672:J672" ca="1" si="672">(C672/C671) - 1</f>
        <v>5.0413298210554292E-3</v>
      </c>
      <c r="I672" s="19">
        <f t="shared" si="672"/>
        <v>1.1755485893416573E-3</v>
      </c>
      <c r="J672" s="17">
        <f t="shared" si="672"/>
        <v>-7.7475062098332215E-3</v>
      </c>
    </row>
    <row r="673" spans="2:10" ht="15.75" customHeight="1" x14ac:dyDescent="0.25">
      <c r="B673" s="21">
        <f ca="1">IFERROR(__xludf.DUMMYFUNCTION("""COMPUTED_VALUE"""),45533.6666666666)</f>
        <v>45533.666666666599</v>
      </c>
      <c r="C673" s="22">
        <f ca="1">IFERROR(__xludf.DUMMYFUNCTION("""COMPUTED_VALUE"""),222.21)</f>
        <v>222.21</v>
      </c>
      <c r="D673" s="22">
        <v>102.6</v>
      </c>
      <c r="E673" s="23">
        <v>510.1</v>
      </c>
      <c r="G673" s="21">
        <f t="shared" ca="1" si="515"/>
        <v>45533.666666666599</v>
      </c>
      <c r="H673" s="19">
        <f t="shared" ref="H673:J673" ca="1" si="673">(C673/C672) - 1</f>
        <v>4.1574404627413575E-3</v>
      </c>
      <c r="I673" s="19">
        <f t="shared" si="673"/>
        <v>3.9138943248531177E-3</v>
      </c>
      <c r="J673" s="17">
        <f t="shared" si="673"/>
        <v>1.3450420201458257E-2</v>
      </c>
    </row>
    <row r="674" spans="2:10" ht="15.75" customHeight="1" x14ac:dyDescent="0.25">
      <c r="B674" s="21">
        <f ca="1">IFERROR(__xludf.DUMMYFUNCTION("""COMPUTED_VALUE"""),45534.6666666666)</f>
        <v>45534.666666666599</v>
      </c>
      <c r="C674" s="22">
        <f ca="1">IFERROR(__xludf.DUMMYFUNCTION("""COMPUTED_VALUE"""),224.8)</f>
        <v>224.8</v>
      </c>
      <c r="D674" s="22">
        <v>103.61</v>
      </c>
      <c r="E674" s="23">
        <v>510.25</v>
      </c>
      <c r="G674" s="21">
        <f t="shared" ca="1" si="515"/>
        <v>45534.666666666599</v>
      </c>
      <c r="H674" s="19">
        <f t="shared" ref="H674:J674" ca="1" si="674">(C674/C673) - 1</f>
        <v>1.1655641060258404E-2</v>
      </c>
      <c r="I674" s="19">
        <f t="shared" si="674"/>
        <v>9.8440545808966551E-3</v>
      </c>
      <c r="J674" s="17">
        <f t="shared" si="674"/>
        <v>2.9405998823750501E-4</v>
      </c>
    </row>
    <row r="675" spans="2:10" ht="15.75" customHeight="1" x14ac:dyDescent="0.25">
      <c r="B675" s="21">
        <f ca="1">IFERROR(__xludf.DUMMYFUNCTION("""COMPUTED_VALUE"""),45538.6666666666)</f>
        <v>45538.666666666599</v>
      </c>
      <c r="C675" s="22">
        <f ca="1">IFERROR(__xludf.DUMMYFUNCTION("""COMPUTED_VALUE"""),220.3)</f>
        <v>220.3</v>
      </c>
      <c r="D675" s="22">
        <v>99.27</v>
      </c>
      <c r="E675" s="23">
        <v>487.46</v>
      </c>
      <c r="G675" s="21">
        <f t="shared" ca="1" si="515"/>
        <v>45538.666666666599</v>
      </c>
      <c r="H675" s="19">
        <f t="shared" ref="H675:J675" ca="1" si="675">(C675/C674) - 1</f>
        <v>-2.0017793594305999E-2</v>
      </c>
      <c r="I675" s="19">
        <f t="shared" si="675"/>
        <v>-4.1887848663256455E-2</v>
      </c>
      <c r="J675" s="17">
        <f t="shared" si="675"/>
        <v>-4.4664380205781562E-2</v>
      </c>
    </row>
    <row r="676" spans="2:10" ht="15.75" customHeight="1" x14ac:dyDescent="0.25">
      <c r="B676" s="21">
        <f ca="1">IFERROR(__xludf.DUMMYFUNCTION("""COMPUTED_VALUE"""),45539.6666666666)</f>
        <v>45539.666666666599</v>
      </c>
      <c r="C676" s="22">
        <f ca="1">IFERROR(__xludf.DUMMYFUNCTION("""COMPUTED_VALUE"""),219.33)</f>
        <v>219.33</v>
      </c>
      <c r="D676" s="22">
        <v>100.15</v>
      </c>
      <c r="E676" s="23">
        <v>490.64</v>
      </c>
      <c r="G676" s="21">
        <f t="shared" ca="1" si="515"/>
        <v>45539.666666666599</v>
      </c>
      <c r="H676" s="19">
        <f t="shared" ref="H676:J676" ca="1" si="676">(C676/C675) - 1</f>
        <v>-4.4030866999545948E-3</v>
      </c>
      <c r="I676" s="19">
        <f t="shared" si="676"/>
        <v>8.8647124005238886E-3</v>
      </c>
      <c r="J676" s="17">
        <f t="shared" si="676"/>
        <v>6.5236121938210268E-3</v>
      </c>
    </row>
    <row r="677" spans="2:10" ht="15.75" customHeight="1" x14ac:dyDescent="0.25">
      <c r="B677" s="21">
        <f ca="1">IFERROR(__xludf.DUMMYFUNCTION("""COMPUTED_VALUE"""),45540.6666666666)</f>
        <v>45540.666666666599</v>
      </c>
      <c r="C677" s="22">
        <f ca="1">IFERROR(__xludf.DUMMYFUNCTION("""COMPUTED_VALUE"""),217.63)</f>
        <v>217.63</v>
      </c>
      <c r="D677" s="22">
        <v>99.56</v>
      </c>
      <c r="E677" s="23">
        <v>487.88</v>
      </c>
      <c r="G677" s="21">
        <f t="shared" ca="1" si="515"/>
        <v>45540.666666666599</v>
      </c>
      <c r="H677" s="19">
        <f t="shared" ref="H677:J677" ca="1" si="677">(C677/C676) - 1</f>
        <v>-7.750877672913048E-3</v>
      </c>
      <c r="I677" s="19">
        <f t="shared" si="677"/>
        <v>-5.8911632551174042E-3</v>
      </c>
      <c r="J677" s="17">
        <f t="shared" si="677"/>
        <v>-5.6253057231371306E-3</v>
      </c>
    </row>
    <row r="678" spans="2:10" ht="15.75" customHeight="1" x14ac:dyDescent="0.25">
      <c r="B678" s="21">
        <f ca="1">IFERROR(__xludf.DUMMYFUNCTION("""COMPUTED_VALUE"""),45541.6666666666)</f>
        <v>45541.666666666599</v>
      </c>
      <c r="C678" s="22">
        <f ca="1">IFERROR(__xludf.DUMMYFUNCTION("""COMPUTED_VALUE"""),212.46)</f>
        <v>212.46</v>
      </c>
      <c r="D678" s="22">
        <v>96.59</v>
      </c>
      <c r="E678" s="23">
        <v>479.61</v>
      </c>
      <c r="G678" s="21">
        <f t="shared" ca="1" si="515"/>
        <v>45541.666666666599</v>
      </c>
      <c r="H678" s="19">
        <f t="shared" ref="H678:J678" ca="1" si="678">(C678/C677) - 1</f>
        <v>-2.3755916004227329E-2</v>
      </c>
      <c r="I678" s="19">
        <f t="shared" si="678"/>
        <v>-2.9831257533145861E-2</v>
      </c>
      <c r="J678" s="17">
        <f t="shared" si="678"/>
        <v>-1.6950889563007276E-2</v>
      </c>
    </row>
    <row r="679" spans="2:10" ht="15.75" customHeight="1" x14ac:dyDescent="0.25">
      <c r="B679" s="21">
        <f ca="1">IFERROR(__xludf.DUMMYFUNCTION("""COMPUTED_VALUE"""),45544.6666666666)</f>
        <v>45544.666666666599</v>
      </c>
      <c r="C679" s="22">
        <f ca="1">IFERROR(__xludf.DUMMYFUNCTION("""COMPUTED_VALUE"""),216.81)</f>
        <v>216.81</v>
      </c>
      <c r="D679" s="22">
        <v>98.18</v>
      </c>
      <c r="E679" s="23">
        <v>488.57</v>
      </c>
      <c r="G679" s="21">
        <f t="shared" ca="1" si="515"/>
        <v>45544.666666666599</v>
      </c>
      <c r="H679" s="19">
        <f t="shared" ref="H679:J679" ca="1" si="679">(C679/C678) - 1</f>
        <v>2.0474442247952584E-2</v>
      </c>
      <c r="I679" s="19">
        <f t="shared" si="679"/>
        <v>1.6461331400766221E-2</v>
      </c>
      <c r="J679" s="17">
        <f t="shared" si="679"/>
        <v>1.8681845666270513E-2</v>
      </c>
    </row>
    <row r="680" spans="2:10" ht="15.75" customHeight="1" x14ac:dyDescent="0.25">
      <c r="B680" s="21">
        <f ca="1">IFERROR(__xludf.DUMMYFUNCTION("""COMPUTED_VALUE"""),45545.6666666666)</f>
        <v>45545.666666666599</v>
      </c>
      <c r="C680" s="22">
        <f ca="1">IFERROR(__xludf.DUMMYFUNCTION("""COMPUTED_VALUE"""),205.56)</f>
        <v>205.56</v>
      </c>
      <c r="D680" s="22">
        <v>96.62</v>
      </c>
      <c r="E680" s="23">
        <v>467.13</v>
      </c>
      <c r="G680" s="21">
        <f t="shared" ca="1" si="515"/>
        <v>45545.666666666599</v>
      </c>
      <c r="H680" s="19">
        <f t="shared" ref="H680:J680" ca="1" si="680">(C680/C679) - 1</f>
        <v>-5.1888750518887528E-2</v>
      </c>
      <c r="I680" s="19">
        <f t="shared" si="680"/>
        <v>-1.5889183133021012E-2</v>
      </c>
      <c r="J680" s="17">
        <f t="shared" si="680"/>
        <v>-4.3883169249032905E-2</v>
      </c>
    </row>
    <row r="681" spans="2:10" ht="15.75" customHeight="1" x14ac:dyDescent="0.25">
      <c r="B681" s="21">
        <f ca="1">IFERROR(__xludf.DUMMYFUNCTION("""COMPUTED_VALUE"""),45546.6666666666)</f>
        <v>45546.666666666599</v>
      </c>
      <c r="C681" s="22">
        <f ca="1">IFERROR(__xludf.DUMMYFUNCTION("""COMPUTED_VALUE"""),207.23)</f>
        <v>207.23</v>
      </c>
      <c r="D681" s="22">
        <v>97.03</v>
      </c>
      <c r="E681" s="23">
        <v>471.17</v>
      </c>
      <c r="G681" s="21">
        <f t="shared" ca="1" si="515"/>
        <v>45546.666666666599</v>
      </c>
      <c r="H681" s="19">
        <f t="shared" ref="H681:J681" ca="1" si="681">(C681/C680) - 1</f>
        <v>8.1241486670557972E-3</v>
      </c>
      <c r="I681" s="19">
        <f t="shared" si="681"/>
        <v>4.2434278617262677E-3</v>
      </c>
      <c r="J681" s="17">
        <f t="shared" si="681"/>
        <v>8.6485560764670844E-3</v>
      </c>
    </row>
    <row r="682" spans="2:10" ht="15.75" customHeight="1" x14ac:dyDescent="0.25">
      <c r="B682" s="21">
        <f ca="1">IFERROR(__xludf.DUMMYFUNCTION("""COMPUTED_VALUE"""),45547.6666666666)</f>
        <v>45547.666666666599</v>
      </c>
      <c r="C682" s="22">
        <f ca="1">IFERROR(__xludf.DUMMYFUNCTION("""COMPUTED_VALUE"""),206.6)</f>
        <v>206.6</v>
      </c>
      <c r="D682" s="22">
        <v>96.64</v>
      </c>
      <c r="E682" s="23">
        <v>474.06</v>
      </c>
      <c r="G682" s="21">
        <f t="shared" ca="1" si="515"/>
        <v>45547.666666666599</v>
      </c>
      <c r="H682" s="19">
        <f t="shared" ref="H682:J682" ca="1" si="682">(C682/C681) - 1</f>
        <v>-3.0401003715677666E-3</v>
      </c>
      <c r="I682" s="19">
        <f t="shared" si="682"/>
        <v>-4.0193754508914825E-3</v>
      </c>
      <c r="J682" s="17">
        <f t="shared" si="682"/>
        <v>6.1336672538574444E-3</v>
      </c>
    </row>
    <row r="683" spans="2:10" ht="15.75" customHeight="1" x14ac:dyDescent="0.25">
      <c r="B683" s="21">
        <f ca="1">IFERROR(__xludf.DUMMYFUNCTION("""COMPUTED_VALUE"""),45548.6666666666)</f>
        <v>45548.666666666599</v>
      </c>
      <c r="C683" s="22">
        <f ca="1">IFERROR(__xludf.DUMMYFUNCTION("""COMPUTED_VALUE"""),204.32)</f>
        <v>204.32</v>
      </c>
      <c r="D683" s="22">
        <v>98.25</v>
      </c>
      <c r="E683" s="23">
        <v>478.99</v>
      </c>
      <c r="G683" s="21">
        <f t="shared" ca="1" si="515"/>
        <v>45548.666666666599</v>
      </c>
      <c r="H683" s="19">
        <f t="shared" ref="H683:J683" ca="1" si="683">(C683/C682) - 1</f>
        <v>-1.1035818005808329E-2</v>
      </c>
      <c r="I683" s="19">
        <f t="shared" si="683"/>
        <v>1.66597682119205E-2</v>
      </c>
      <c r="J683" s="17">
        <f t="shared" si="683"/>
        <v>1.0399527485972282E-2</v>
      </c>
    </row>
    <row r="684" spans="2:10" ht="15.75" customHeight="1" x14ac:dyDescent="0.25">
      <c r="B684" s="21">
        <f ca="1">IFERROR(__xludf.DUMMYFUNCTION("""COMPUTED_VALUE"""),45551.6666666666)</f>
        <v>45551.666666666599</v>
      </c>
      <c r="C684" s="22">
        <f ca="1">IFERROR(__xludf.DUMMYFUNCTION("""COMPUTED_VALUE"""),207.86)</f>
        <v>207.86</v>
      </c>
      <c r="D684" s="22">
        <v>100.09</v>
      </c>
      <c r="E684" s="23">
        <v>485.16</v>
      </c>
      <c r="G684" s="21">
        <f t="shared" ca="1" si="515"/>
        <v>45551.666666666599</v>
      </c>
      <c r="H684" s="19">
        <f t="shared" ref="H684:J684" ca="1" si="684">(C684/C683) - 1</f>
        <v>1.7325763508222458E-2</v>
      </c>
      <c r="I684" s="19">
        <f t="shared" si="684"/>
        <v>1.8727735368956777E-2</v>
      </c>
      <c r="J684" s="17">
        <f t="shared" si="684"/>
        <v>1.2881271007745498E-2</v>
      </c>
    </row>
    <row r="685" spans="2:10" ht="15.75" customHeight="1" x14ac:dyDescent="0.25">
      <c r="B685" s="21">
        <f ca="1">IFERROR(__xludf.DUMMYFUNCTION("""COMPUTED_VALUE"""),45552.6666666666)</f>
        <v>45552.666666666599</v>
      </c>
      <c r="C685" s="22">
        <f ca="1">IFERROR(__xludf.DUMMYFUNCTION("""COMPUTED_VALUE"""),209.25)</f>
        <v>209.25</v>
      </c>
      <c r="D685" s="22">
        <v>99.84</v>
      </c>
      <c r="E685" s="23">
        <v>485.39</v>
      </c>
      <c r="G685" s="21">
        <f t="shared" ca="1" si="515"/>
        <v>45552.666666666599</v>
      </c>
      <c r="H685" s="19">
        <f t="shared" ref="H685:J685" ca="1" si="685">(C685/C684) - 1</f>
        <v>6.6871933031846797E-3</v>
      </c>
      <c r="I685" s="19">
        <f t="shared" si="685"/>
        <v>-2.497752023179145E-3</v>
      </c>
      <c r="J685" s="17">
        <f t="shared" si="685"/>
        <v>4.7407040976166215E-4</v>
      </c>
    </row>
    <row r="686" spans="2:10" ht="15.75" customHeight="1" x14ac:dyDescent="0.25">
      <c r="B686" s="21">
        <f ca="1">IFERROR(__xludf.DUMMYFUNCTION("""COMPUTED_VALUE"""),45553.6666666666)</f>
        <v>45553.666666666599</v>
      </c>
      <c r="C686" s="22">
        <f ca="1">IFERROR(__xludf.DUMMYFUNCTION("""COMPUTED_VALUE"""),207.53)</f>
        <v>207.53</v>
      </c>
      <c r="D686" s="22">
        <v>99.3</v>
      </c>
      <c r="E686" s="23">
        <v>484.58</v>
      </c>
      <c r="G686" s="21">
        <f t="shared" ca="1" si="515"/>
        <v>45553.666666666599</v>
      </c>
      <c r="H686" s="19">
        <f t="shared" ref="H686:J686" ca="1" si="686">(C686/C685) - 1</f>
        <v>-8.2198327359617185E-3</v>
      </c>
      <c r="I686" s="19">
        <f t="shared" si="686"/>
        <v>-5.4086538461538547E-3</v>
      </c>
      <c r="J686" s="17">
        <f t="shared" si="686"/>
        <v>-1.6687612023321696E-3</v>
      </c>
    </row>
    <row r="687" spans="2:10" ht="15.75" customHeight="1" x14ac:dyDescent="0.25">
      <c r="B687" s="21">
        <f ca="1">IFERROR(__xludf.DUMMYFUNCTION("""COMPUTED_VALUE"""),45554.6666666666)</f>
        <v>45554.666666666599</v>
      </c>
      <c r="C687" s="22">
        <f ca="1">IFERROR(__xludf.DUMMYFUNCTION("""COMPUTED_VALUE"""),210.48)</f>
        <v>210.48</v>
      </c>
      <c r="D687" s="22">
        <v>100.73</v>
      </c>
      <c r="E687" s="23">
        <v>503.83</v>
      </c>
      <c r="G687" s="21">
        <f t="shared" ca="1" si="515"/>
        <v>45554.666666666599</v>
      </c>
      <c r="H687" s="19">
        <f t="shared" ref="H687:J687" ca="1" si="687">(C687/C686) - 1</f>
        <v>1.4214812316291514E-2</v>
      </c>
      <c r="I687" s="19">
        <f t="shared" si="687"/>
        <v>1.4400805639476433E-2</v>
      </c>
      <c r="J687" s="17">
        <f t="shared" si="687"/>
        <v>3.9725122786743228E-2</v>
      </c>
    </row>
    <row r="688" spans="2:10" ht="15.75" customHeight="1" x14ac:dyDescent="0.25">
      <c r="B688" s="21">
        <f ca="1">IFERROR(__xludf.DUMMYFUNCTION("""COMPUTED_VALUE"""),45555.6666666666)</f>
        <v>45555.666666666599</v>
      </c>
      <c r="C688" s="22">
        <f ca="1">IFERROR(__xludf.DUMMYFUNCTION("""COMPUTED_VALUE"""),211.09)</f>
        <v>211.09</v>
      </c>
      <c r="D688" s="22">
        <v>102.47</v>
      </c>
      <c r="E688" s="23">
        <v>498.43</v>
      </c>
      <c r="G688" s="21">
        <f t="shared" ca="1" si="515"/>
        <v>45555.666666666599</v>
      </c>
      <c r="H688" s="19">
        <f t="shared" ref="H688:J688" ca="1" si="688">(C688/C687) - 1</f>
        <v>2.8981375902699114E-3</v>
      </c>
      <c r="I688" s="19">
        <f t="shared" si="688"/>
        <v>1.7273900526159069E-2</v>
      </c>
      <c r="J688" s="17">
        <f t="shared" si="688"/>
        <v>-1.071790087926483E-2</v>
      </c>
    </row>
    <row r="689" spans="2:10" ht="15.75" customHeight="1" x14ac:dyDescent="0.25">
      <c r="B689" s="21">
        <f ca="1">IFERROR(__xludf.DUMMYFUNCTION("""COMPUTED_VALUE"""),45558.6666666666)</f>
        <v>45558.666666666599</v>
      </c>
      <c r="C689" s="22">
        <f ca="1">IFERROR(__xludf.DUMMYFUNCTION("""COMPUTED_VALUE"""),211.44)</f>
        <v>211.44</v>
      </c>
      <c r="D689" s="22">
        <v>102.47</v>
      </c>
      <c r="E689" s="23">
        <v>497.41</v>
      </c>
      <c r="G689" s="21">
        <f t="shared" ca="1" si="515"/>
        <v>45558.666666666599</v>
      </c>
      <c r="H689" s="19">
        <f t="shared" ref="H689:J689" ca="1" si="689">(C689/C688) - 1</f>
        <v>1.6580605428964112E-3</v>
      </c>
      <c r="I689" s="19">
        <f t="shared" si="689"/>
        <v>0</v>
      </c>
      <c r="J689" s="17">
        <f t="shared" si="689"/>
        <v>-2.0464257769395866E-3</v>
      </c>
    </row>
    <row r="690" spans="2:10" ht="15.75" customHeight="1" x14ac:dyDescent="0.25">
      <c r="B690" s="21">
        <f ca="1">IFERROR(__xludf.DUMMYFUNCTION("""COMPUTED_VALUE"""),45559.6666666666)</f>
        <v>45559.666666666599</v>
      </c>
      <c r="C690" s="22">
        <f ca="1">IFERROR(__xludf.DUMMYFUNCTION("""COMPUTED_VALUE"""),211.59)</f>
        <v>211.59</v>
      </c>
      <c r="D690" s="22">
        <v>102.58</v>
      </c>
      <c r="E690" s="23">
        <v>498.02</v>
      </c>
      <c r="G690" s="21">
        <f t="shared" ca="1" si="515"/>
        <v>45559.666666666599</v>
      </c>
      <c r="H690" s="19">
        <f t="shared" ref="H690:J690" ca="1" si="690">(C690/C689) - 1</f>
        <v>7.0942111237237704E-4</v>
      </c>
      <c r="I690" s="19">
        <f t="shared" si="690"/>
        <v>1.0734849224163234E-3</v>
      </c>
      <c r="J690" s="17">
        <f t="shared" si="690"/>
        <v>1.2263525059807989E-3</v>
      </c>
    </row>
    <row r="691" spans="2:10" ht="15.75" customHeight="1" x14ac:dyDescent="0.25">
      <c r="B691" s="21">
        <f ca="1">IFERROR(__xludf.DUMMYFUNCTION("""COMPUTED_VALUE"""),45560.6666666666)</f>
        <v>45560.666666666599</v>
      </c>
      <c r="C691" s="22">
        <f ca="1">IFERROR(__xludf.DUMMYFUNCTION("""COMPUTED_VALUE"""),210.19)</f>
        <v>210.19</v>
      </c>
      <c r="D691" s="22">
        <v>102.34</v>
      </c>
      <c r="E691" s="23">
        <v>491.14</v>
      </c>
      <c r="G691" s="21">
        <f t="shared" ca="1" si="515"/>
        <v>45560.666666666599</v>
      </c>
      <c r="H691" s="19">
        <f t="shared" ref="H691:J691" ca="1" si="691">(C691/C690) - 1</f>
        <v>-6.6165697811806368E-3</v>
      </c>
      <c r="I691" s="19">
        <f t="shared" si="691"/>
        <v>-2.3396373562097894E-3</v>
      </c>
      <c r="J691" s="17">
        <f t="shared" si="691"/>
        <v>-1.3814706236697338E-2</v>
      </c>
    </row>
    <row r="692" spans="2:10" ht="15.75" customHeight="1" x14ac:dyDescent="0.25">
      <c r="B692" s="21">
        <f ca="1">IFERROR(__xludf.DUMMYFUNCTION("""COMPUTED_VALUE"""),45561.6666666666)</f>
        <v>45561.666666666599</v>
      </c>
      <c r="C692" s="22">
        <f ca="1">IFERROR(__xludf.DUMMYFUNCTION("""COMPUTED_VALUE"""),209.78)</f>
        <v>209.78</v>
      </c>
      <c r="D692" s="22">
        <v>104.6</v>
      </c>
      <c r="E692" s="23">
        <v>496.92</v>
      </c>
      <c r="G692" s="21">
        <f t="shared" ca="1" si="515"/>
        <v>45561.666666666599</v>
      </c>
      <c r="H692" s="19">
        <f t="shared" ref="H692:J692" ca="1" si="692">(C692/C691) - 1</f>
        <v>-1.9506161092345264E-3</v>
      </c>
      <c r="I692" s="19">
        <f t="shared" si="692"/>
        <v>2.208325190541327E-2</v>
      </c>
      <c r="J692" s="17">
        <f t="shared" si="692"/>
        <v>1.1768538502260117E-2</v>
      </c>
    </row>
    <row r="693" spans="2:10" ht="15.75" customHeight="1" x14ac:dyDescent="0.25">
      <c r="B693" s="21">
        <f ca="1">IFERROR(__xludf.DUMMYFUNCTION("""COMPUTED_VALUE"""),45562.6666666666)</f>
        <v>45562.666666666599</v>
      </c>
      <c r="C693" s="22">
        <f ca="1">IFERROR(__xludf.DUMMYFUNCTION("""COMPUTED_VALUE"""),210.5)</f>
        <v>210.5</v>
      </c>
      <c r="D693" s="22">
        <v>104.11</v>
      </c>
      <c r="E693" s="23">
        <v>498.51</v>
      </c>
      <c r="G693" s="21">
        <f t="shared" ca="1" si="515"/>
        <v>45562.666666666599</v>
      </c>
      <c r="H693" s="19">
        <f t="shared" ref="H693:J693" ca="1" si="693">(C693/C692) - 1</f>
        <v>3.4321670321288966E-3</v>
      </c>
      <c r="I693" s="19">
        <f t="shared" si="693"/>
        <v>-4.6845124282982598E-3</v>
      </c>
      <c r="J693" s="17">
        <f t="shared" si="693"/>
        <v>3.1997102149239343E-3</v>
      </c>
    </row>
    <row r="694" spans="2:10" ht="15.75" customHeight="1" x14ac:dyDescent="0.25">
      <c r="B694" s="21">
        <f ca="1">IFERROR(__xludf.DUMMYFUNCTION("""COMPUTED_VALUE"""),45565.6666666666)</f>
        <v>45565.666666666599</v>
      </c>
      <c r="C694" s="22">
        <f ca="1">IFERROR(__xludf.DUMMYFUNCTION("""COMPUTED_VALUE"""),210.86)</f>
        <v>210.86</v>
      </c>
      <c r="D694" s="22">
        <v>104.24</v>
      </c>
      <c r="E694" s="23">
        <v>495.11</v>
      </c>
      <c r="G694" s="21">
        <f t="shared" ca="1" si="515"/>
        <v>45565.666666666599</v>
      </c>
      <c r="H694" s="19">
        <f t="shared" ref="H694:J694" ca="1" si="694">(C694/C693) - 1</f>
        <v>1.7102137767222025E-3</v>
      </c>
      <c r="I694" s="19">
        <f t="shared" si="694"/>
        <v>1.2486792815291636E-3</v>
      </c>
      <c r="J694" s="17">
        <f t="shared" si="694"/>
        <v>-6.8203245672102675E-3</v>
      </c>
    </row>
    <row r="695" spans="2:10" ht="15.75" customHeight="1" x14ac:dyDescent="0.25">
      <c r="B695" s="21">
        <f ca="1">IFERROR(__xludf.DUMMYFUNCTION("""COMPUTED_VALUE"""),45566.6666666666)</f>
        <v>45566.666666666599</v>
      </c>
      <c r="C695" s="22">
        <f ca="1">IFERROR(__xludf.DUMMYFUNCTION("""COMPUTED_VALUE"""),207.04)</f>
        <v>207.04</v>
      </c>
      <c r="D695" s="22">
        <v>104.42</v>
      </c>
      <c r="E695" s="23">
        <v>490.17</v>
      </c>
      <c r="G695" s="21">
        <f t="shared" ca="1" si="515"/>
        <v>45566.666666666599</v>
      </c>
      <c r="H695" s="19">
        <f t="shared" ref="H695:J695" ca="1" si="695">(C695/C694) - 1</f>
        <v>-1.8116285687185929E-2</v>
      </c>
      <c r="I695" s="19">
        <f t="shared" si="695"/>
        <v>1.7267843438220076E-3</v>
      </c>
      <c r="J695" s="17">
        <f t="shared" si="695"/>
        <v>-9.977580739633618E-3</v>
      </c>
    </row>
    <row r="696" spans="2:10" ht="15.75" customHeight="1" x14ac:dyDescent="0.25">
      <c r="B696" s="21">
        <f ca="1">IFERROR(__xludf.DUMMYFUNCTION("""COMPUTED_VALUE"""),45567.6666666666)</f>
        <v>45567.666666666599</v>
      </c>
      <c r="C696" s="22">
        <f ca="1">IFERROR(__xludf.DUMMYFUNCTION("""COMPUTED_VALUE"""),207.29)</f>
        <v>207.29</v>
      </c>
      <c r="D696" s="22">
        <v>104.52</v>
      </c>
      <c r="E696" s="23">
        <v>491.99</v>
      </c>
      <c r="G696" s="21">
        <f t="shared" ca="1" si="515"/>
        <v>45567.666666666599</v>
      </c>
      <c r="H696" s="19">
        <f t="shared" ref="H696:J696" ca="1" si="696">(C696/C695) - 1</f>
        <v>1.2074961360124536E-3</v>
      </c>
      <c r="I696" s="19">
        <f t="shared" si="696"/>
        <v>9.5767094426357779E-4</v>
      </c>
      <c r="J696" s="17">
        <f t="shared" si="696"/>
        <v>3.712997531468698E-3</v>
      </c>
    </row>
    <row r="697" spans="2:10" ht="15.75" customHeight="1" x14ac:dyDescent="0.25">
      <c r="B697" s="21">
        <f ca="1">IFERROR(__xludf.DUMMYFUNCTION("""COMPUTED_VALUE"""),45568.6666666666)</f>
        <v>45568.666666666599</v>
      </c>
      <c r="C697" s="22">
        <f ca="1">IFERROR(__xludf.DUMMYFUNCTION("""COMPUTED_VALUE"""),205.23)</f>
        <v>205.23</v>
      </c>
      <c r="D697" s="22">
        <v>104.57</v>
      </c>
      <c r="E697" s="23">
        <v>486.1</v>
      </c>
      <c r="G697" s="21">
        <f t="shared" ca="1" si="515"/>
        <v>45568.666666666599</v>
      </c>
      <c r="H697" s="19">
        <f t="shared" ref="H697:J697" ca="1" si="697">(C697/C696) - 1</f>
        <v>-9.9377683438660602E-3</v>
      </c>
      <c r="I697" s="19">
        <f t="shared" si="697"/>
        <v>4.7837734404887478E-4</v>
      </c>
      <c r="J697" s="17">
        <f t="shared" si="697"/>
        <v>-1.1971788044472409E-2</v>
      </c>
    </row>
    <row r="698" spans="2:10" ht="15.75" customHeight="1" x14ac:dyDescent="0.25">
      <c r="B698" s="21">
        <f ca="1">IFERROR(__xludf.DUMMYFUNCTION("""COMPUTED_VALUE"""),45569.6666666666)</f>
        <v>45569.666666666599</v>
      </c>
      <c r="C698" s="22">
        <f ca="1">IFERROR(__xludf.DUMMYFUNCTION("""COMPUTED_VALUE"""),211.22)</f>
        <v>211.22</v>
      </c>
      <c r="D698" s="22">
        <v>107.88</v>
      </c>
      <c r="E698" s="23">
        <v>495.16</v>
      </c>
      <c r="G698" s="21">
        <f t="shared" ca="1" si="515"/>
        <v>45569.666666666599</v>
      </c>
      <c r="H698" s="19">
        <f t="shared" ref="H698:J698" ca="1" si="698">(C698/C697) - 1</f>
        <v>2.9186766067339054E-2</v>
      </c>
      <c r="I698" s="19">
        <f t="shared" si="698"/>
        <v>3.1653437888495839E-2</v>
      </c>
      <c r="J698" s="17">
        <f t="shared" si="698"/>
        <v>1.8638140300349715E-2</v>
      </c>
    </row>
    <row r="699" spans="2:10" ht="15.75" customHeight="1" x14ac:dyDescent="0.25">
      <c r="B699" s="21">
        <f ca="1">IFERROR(__xludf.DUMMYFUNCTION("""COMPUTED_VALUE"""),45572.6666666666)</f>
        <v>45572.666666666599</v>
      </c>
      <c r="C699" s="22">
        <f ca="1">IFERROR(__xludf.DUMMYFUNCTION("""COMPUTED_VALUE"""),210.93)</f>
        <v>210.93</v>
      </c>
      <c r="D699" s="22">
        <v>107.64</v>
      </c>
      <c r="E699" s="23">
        <v>494.62</v>
      </c>
      <c r="G699" s="21">
        <f t="shared" ca="1" si="515"/>
        <v>45572.666666666599</v>
      </c>
      <c r="H699" s="19">
        <f t="shared" ref="H699:J699" ca="1" si="699">(C699/C698) - 1</f>
        <v>-1.372976043935159E-3</v>
      </c>
      <c r="I699" s="19">
        <f t="shared" si="699"/>
        <v>-2.2246941045606095E-3</v>
      </c>
      <c r="J699" s="17">
        <f t="shared" si="699"/>
        <v>-1.0905565877696866E-3</v>
      </c>
    </row>
    <row r="700" spans="2:10" ht="15.75" customHeight="1" x14ac:dyDescent="0.25">
      <c r="B700" s="21">
        <f ca="1">IFERROR(__xludf.DUMMYFUNCTION("""COMPUTED_VALUE"""),45573.6666666666)</f>
        <v>45573.666666666599</v>
      </c>
      <c r="C700" s="22">
        <f ca="1">IFERROR(__xludf.DUMMYFUNCTION("""COMPUTED_VALUE"""),210.75)</f>
        <v>210.75</v>
      </c>
      <c r="D700" s="22">
        <v>107.49</v>
      </c>
      <c r="E700" s="23">
        <v>496.57</v>
      </c>
      <c r="G700" s="21">
        <f t="shared" ca="1" si="515"/>
        <v>45573.666666666599</v>
      </c>
      <c r="H700" s="19">
        <f t="shared" ref="H700:J700" ca="1" si="700">(C700/C699) - 1</f>
        <v>-8.5336367515287392E-4</v>
      </c>
      <c r="I700" s="19">
        <f t="shared" si="700"/>
        <v>-1.393534002229746E-3</v>
      </c>
      <c r="J700" s="17">
        <f t="shared" si="700"/>
        <v>3.9424204439770794E-3</v>
      </c>
    </row>
    <row r="701" spans="2:10" ht="15.75" customHeight="1" x14ac:dyDescent="0.25">
      <c r="B701" s="21">
        <f ca="1">IFERROR(__xludf.DUMMYFUNCTION("""COMPUTED_VALUE"""),45574.6666666666)</f>
        <v>45574.666666666599</v>
      </c>
      <c r="C701" s="22">
        <f ca="1">IFERROR(__xludf.DUMMYFUNCTION("""COMPUTED_VALUE"""),213.42)</f>
        <v>213.42</v>
      </c>
      <c r="D701" s="22">
        <v>109.04</v>
      </c>
      <c r="E701" s="23">
        <v>505.18</v>
      </c>
      <c r="G701" s="21">
        <f t="shared" ca="1" si="515"/>
        <v>45574.666666666599</v>
      </c>
      <c r="H701" s="19">
        <f t="shared" ref="H701:J701" ca="1" si="701">(C701/C700) - 1</f>
        <v>1.2669039145907446E-2</v>
      </c>
      <c r="I701" s="19">
        <f t="shared" si="701"/>
        <v>1.4419946041492437E-2</v>
      </c>
      <c r="J701" s="17">
        <f t="shared" si="701"/>
        <v>1.7338945163823949E-2</v>
      </c>
    </row>
    <row r="702" spans="2:10" ht="15.75" customHeight="1" x14ac:dyDescent="0.25">
      <c r="B702" s="21">
        <f ca="1">IFERROR(__xludf.DUMMYFUNCTION("""COMPUTED_VALUE"""),45575.6666666666)</f>
        <v>45575.666666666599</v>
      </c>
      <c r="C702" s="22">
        <f ca="1">IFERROR(__xludf.DUMMYFUNCTION("""COMPUTED_VALUE"""),212.84)</f>
        <v>212.84</v>
      </c>
      <c r="D702" s="22">
        <v>108.08</v>
      </c>
      <c r="E702" s="23">
        <v>503.72</v>
      </c>
      <c r="G702" s="21">
        <f t="shared" ca="1" si="515"/>
        <v>45575.666666666599</v>
      </c>
      <c r="H702" s="19">
        <f t="shared" ref="H702:J702" ca="1" si="702">(C702/C701) - 1</f>
        <v>-2.7176459563301725E-3</v>
      </c>
      <c r="I702" s="19">
        <f t="shared" si="702"/>
        <v>-8.8041085840059319E-3</v>
      </c>
      <c r="J702" s="17">
        <f t="shared" si="702"/>
        <v>-2.8900589888751771E-3</v>
      </c>
    </row>
    <row r="703" spans="2:10" ht="15.75" customHeight="1" x14ac:dyDescent="0.25">
      <c r="B703" s="21">
        <f ca="1">IFERROR(__xludf.DUMMYFUNCTION("""COMPUTED_VALUE"""),45576.6666666666)</f>
        <v>45576.666666666599</v>
      </c>
      <c r="C703" s="22">
        <f ca="1">IFERROR(__xludf.DUMMYFUNCTION("""COMPUTED_VALUE"""),222.29)</f>
        <v>222.29</v>
      </c>
      <c r="D703" s="22">
        <v>110.46</v>
      </c>
      <c r="E703" s="23">
        <v>516.29999999999995</v>
      </c>
      <c r="G703" s="21">
        <f t="shared" ca="1" si="515"/>
        <v>45576.666666666599</v>
      </c>
      <c r="H703" s="19">
        <f t="shared" ref="H703:J703" ca="1" si="703">(C703/C702) - 1</f>
        <v>4.4399548956962853E-2</v>
      </c>
      <c r="I703" s="19">
        <f t="shared" si="703"/>
        <v>2.2020725388600892E-2</v>
      </c>
      <c r="J703" s="17">
        <f t="shared" si="703"/>
        <v>2.4974192011434804E-2</v>
      </c>
    </row>
    <row r="704" spans="2:10" ht="15.75" customHeight="1" x14ac:dyDescent="0.25">
      <c r="B704" s="21">
        <f ca="1">IFERROR(__xludf.DUMMYFUNCTION("""COMPUTED_VALUE"""),45579.6666666666)</f>
        <v>45579.666666666599</v>
      </c>
      <c r="C704" s="22">
        <f ca="1">IFERROR(__xludf.DUMMYFUNCTION("""COMPUTED_VALUE"""),221.48)</f>
        <v>221.48</v>
      </c>
      <c r="D704" s="22">
        <v>112.28</v>
      </c>
      <c r="E704" s="23">
        <v>522.75</v>
      </c>
      <c r="G704" s="21">
        <f t="shared" ca="1" si="515"/>
        <v>45579.666666666599</v>
      </c>
      <c r="H704" s="19">
        <f t="shared" ref="H704:J704" ca="1" si="704">(C704/C703) - 1</f>
        <v>-3.6438886139728011E-3</v>
      </c>
      <c r="I704" s="19">
        <f t="shared" si="704"/>
        <v>1.647655259822578E-2</v>
      </c>
      <c r="J704" s="17">
        <f t="shared" si="704"/>
        <v>1.2492736780941316E-2</v>
      </c>
    </row>
    <row r="705" spans="2:10" ht="15.75" customHeight="1" x14ac:dyDescent="0.25">
      <c r="B705" s="21">
        <f ca="1">IFERROR(__xludf.DUMMYFUNCTION("""COMPUTED_VALUE"""),45580.6666666666)</f>
        <v>45580.666666666599</v>
      </c>
      <c r="C705" s="22">
        <f ca="1">IFERROR(__xludf.DUMMYFUNCTION("""COMPUTED_VALUE"""),222.39)</f>
        <v>222.39</v>
      </c>
      <c r="D705" s="22">
        <v>112.22</v>
      </c>
      <c r="E705" s="23">
        <v>522.38</v>
      </c>
      <c r="G705" s="21">
        <f t="shared" ca="1" si="515"/>
        <v>45580.666666666599</v>
      </c>
      <c r="H705" s="19">
        <f t="shared" ref="H705:J705" ca="1" si="705">(C705/C704) - 1</f>
        <v>4.1087231352718856E-3</v>
      </c>
      <c r="I705" s="19">
        <f t="shared" si="705"/>
        <v>-5.3437833986469396E-4</v>
      </c>
      <c r="J705" s="17">
        <f t="shared" si="705"/>
        <v>-7.0779531324727252E-4</v>
      </c>
    </row>
    <row r="706" spans="2:10" ht="15.75" customHeight="1" x14ac:dyDescent="0.25">
      <c r="B706" s="21">
        <f ca="1">IFERROR(__xludf.DUMMYFUNCTION("""COMPUTED_VALUE"""),45581.6666666666)</f>
        <v>45581.666666666599</v>
      </c>
      <c r="C706" s="22">
        <f ca="1">IFERROR(__xludf.DUMMYFUNCTION("""COMPUTED_VALUE"""),223.64)</f>
        <v>223.64</v>
      </c>
      <c r="D706" s="22">
        <v>119.51</v>
      </c>
      <c r="E706" s="23">
        <v>529.86</v>
      </c>
      <c r="G706" s="21">
        <f t="shared" ca="1" si="515"/>
        <v>45581.666666666599</v>
      </c>
      <c r="H706" s="19">
        <f t="shared" ref="H706:J706" ca="1" si="706">(C706/C705) - 1</f>
        <v>5.6207563289716322E-3</v>
      </c>
      <c r="I706" s="19">
        <f t="shared" si="706"/>
        <v>6.496168240955269E-2</v>
      </c>
      <c r="J706" s="17">
        <f t="shared" si="706"/>
        <v>1.4319078065775814E-2</v>
      </c>
    </row>
    <row r="707" spans="2:10" ht="15.75" customHeight="1" x14ac:dyDescent="0.25">
      <c r="B707" s="21">
        <f ca="1">IFERROR(__xludf.DUMMYFUNCTION("""COMPUTED_VALUE"""),45582.6666666666)</f>
        <v>45582.666666666599</v>
      </c>
      <c r="C707" s="22">
        <f ca="1">IFERROR(__xludf.DUMMYFUNCTION("""COMPUTED_VALUE"""),224.42)</f>
        <v>224.42</v>
      </c>
      <c r="D707" s="22">
        <v>119.44</v>
      </c>
      <c r="E707" s="23">
        <v>529</v>
      </c>
      <c r="G707" s="21">
        <f t="shared" ca="1" si="515"/>
        <v>45582.666666666599</v>
      </c>
      <c r="H707" s="19">
        <f t="shared" ref="H707:J707" ca="1" si="707">(C707/C706) - 1</f>
        <v>3.4877481666963916E-3</v>
      </c>
      <c r="I707" s="19">
        <f t="shared" si="707"/>
        <v>-5.8572504392939706E-4</v>
      </c>
      <c r="J707" s="17">
        <f t="shared" si="707"/>
        <v>-1.6230702449704371E-3</v>
      </c>
    </row>
    <row r="708" spans="2:10" ht="15.75" customHeight="1" x14ac:dyDescent="0.25">
      <c r="B708" s="21">
        <f ca="1">IFERROR(__xludf.DUMMYFUNCTION("""COMPUTED_VALUE"""),45583.6666666666)</f>
        <v>45583.666666666599</v>
      </c>
      <c r="C708" s="22">
        <f ca="1">IFERROR(__xludf.DUMMYFUNCTION("""COMPUTED_VALUE"""),225.37)</f>
        <v>225.37</v>
      </c>
      <c r="D708" s="22">
        <v>121.06</v>
      </c>
      <c r="E708" s="23">
        <v>528.5</v>
      </c>
      <c r="G708" s="21">
        <f t="shared" ca="1" si="515"/>
        <v>45583.666666666599</v>
      </c>
      <c r="H708" s="19">
        <f t="shared" ref="H708:J708" ca="1" si="708">(C708/C707) - 1</f>
        <v>4.2331343017556478E-3</v>
      </c>
      <c r="I708" s="19">
        <f t="shared" si="708"/>
        <v>1.3563295378432816E-2</v>
      </c>
      <c r="J708" s="17">
        <f t="shared" si="708"/>
        <v>-9.4517958412099201E-4</v>
      </c>
    </row>
    <row r="709" spans="2:10" ht="15.75" customHeight="1" x14ac:dyDescent="0.25">
      <c r="B709" s="21">
        <f ca="1">IFERROR(__xludf.DUMMYFUNCTION("""COMPUTED_VALUE"""),45586.6666666666)</f>
        <v>45586.666666666599</v>
      </c>
      <c r="C709" s="22">
        <f ca="1">IFERROR(__xludf.DUMMYFUNCTION("""COMPUTED_VALUE"""),223)</f>
        <v>223</v>
      </c>
      <c r="D709" s="22">
        <v>118.28</v>
      </c>
      <c r="E709" s="23">
        <v>517.79999999999995</v>
      </c>
      <c r="G709" s="21">
        <f t="shared" ca="1" si="515"/>
        <v>45586.666666666599</v>
      </c>
      <c r="H709" s="19">
        <f t="shared" ref="H709:J709" ca="1" si="709">(C709/C708) - 1</f>
        <v>-1.0516040289302087E-2</v>
      </c>
      <c r="I709" s="19">
        <f t="shared" si="709"/>
        <v>-2.2963819593589951E-2</v>
      </c>
      <c r="J709" s="17">
        <f t="shared" si="709"/>
        <v>-2.0245979186376606E-2</v>
      </c>
    </row>
    <row r="710" spans="2:10" ht="15.75" customHeight="1" x14ac:dyDescent="0.25">
      <c r="B710" s="21">
        <f ca="1">IFERROR(__xludf.DUMMYFUNCTION("""COMPUTED_VALUE"""),45587.6666666666)</f>
        <v>45587.666666666599</v>
      </c>
      <c r="C710" s="22">
        <f ca="1">IFERROR(__xludf.DUMMYFUNCTION("""COMPUTED_VALUE"""),224.12)</f>
        <v>224.12</v>
      </c>
      <c r="D710" s="22">
        <v>118.32</v>
      </c>
      <c r="E710" s="23">
        <v>518.29999999999995</v>
      </c>
      <c r="G710" s="21">
        <f t="shared" ca="1" si="515"/>
        <v>45587.666666666599</v>
      </c>
      <c r="H710" s="19">
        <f t="shared" ref="H710:J710" ca="1" si="710">(C710/C709) - 1</f>
        <v>5.0224215246637005E-3</v>
      </c>
      <c r="I710" s="19">
        <f t="shared" si="710"/>
        <v>3.3818058843415599E-4</v>
      </c>
      <c r="J710" s="17">
        <f t="shared" si="710"/>
        <v>9.6562379297027157E-4</v>
      </c>
    </row>
    <row r="711" spans="2:10" ht="15.75" customHeight="1" x14ac:dyDescent="0.25">
      <c r="B711" s="21">
        <f ca="1">IFERROR(__xludf.DUMMYFUNCTION("""COMPUTED_VALUE"""),45588.6666666666)</f>
        <v>45588.666666666599</v>
      </c>
      <c r="C711" s="22">
        <f ca="1">IFERROR(__xludf.DUMMYFUNCTION("""COMPUTED_VALUE"""),223.41)</f>
        <v>223.41</v>
      </c>
      <c r="D711" s="22">
        <v>118.28</v>
      </c>
      <c r="E711" s="23">
        <v>517.20000000000005</v>
      </c>
      <c r="G711" s="21">
        <f t="shared" ca="1" si="515"/>
        <v>45588.666666666599</v>
      </c>
      <c r="H711" s="19">
        <f t="shared" ref="H711:J711" ca="1" si="711">(C711/C710) - 1</f>
        <v>-3.1679457433517744E-3</v>
      </c>
      <c r="I711" s="19">
        <f t="shared" si="711"/>
        <v>-3.3806626098709103E-4</v>
      </c>
      <c r="J711" s="17">
        <f t="shared" si="711"/>
        <v>-2.1223229789695264E-3</v>
      </c>
    </row>
    <row r="712" spans="2:10" ht="15.75" customHeight="1" x14ac:dyDescent="0.25">
      <c r="B712" s="21">
        <f ca="1">IFERROR(__xludf.DUMMYFUNCTION("""COMPUTED_VALUE"""),45589.6666666666)</f>
        <v>45589.666666666599</v>
      </c>
      <c r="C712" s="22">
        <f ca="1">IFERROR(__xludf.DUMMYFUNCTION("""COMPUTED_VALUE"""),224.98)</f>
        <v>224.98</v>
      </c>
      <c r="D712" s="22">
        <v>119.17</v>
      </c>
      <c r="E712" s="23">
        <v>524.5</v>
      </c>
      <c r="G712" s="21">
        <f t="shared" ca="1" si="515"/>
        <v>45589.666666666599</v>
      </c>
      <c r="H712" s="19">
        <f t="shared" ref="H712:J712" ca="1" si="712">(C712/C711) - 1</f>
        <v>7.0274383420616537E-3</v>
      </c>
      <c r="I712" s="19">
        <f t="shared" si="712"/>
        <v>7.5245180926615252E-3</v>
      </c>
      <c r="J712" s="17">
        <f t="shared" si="712"/>
        <v>1.4114462490332436E-2</v>
      </c>
    </row>
    <row r="713" spans="2:10" ht="15.75" customHeight="1" x14ac:dyDescent="0.25">
      <c r="B713" s="21">
        <f ca="1">IFERROR(__xludf.DUMMYFUNCTION("""COMPUTED_VALUE"""),45590.6666666666)</f>
        <v>45590.666666666599</v>
      </c>
      <c r="C713" s="22">
        <f ca="1">IFERROR(__xludf.DUMMYFUNCTION("""COMPUTED_VALUE"""),222.31)</f>
        <v>222.31</v>
      </c>
      <c r="D713" s="22">
        <v>116.88</v>
      </c>
      <c r="E713" s="23">
        <v>512.6</v>
      </c>
      <c r="G713" s="21">
        <f t="shared" ca="1" si="515"/>
        <v>45590.666666666599</v>
      </c>
      <c r="H713" s="19">
        <f t="shared" ref="H713:J713" ca="1" si="713">(C713/C712) - 1</f>
        <v>-1.1867721575251067E-2</v>
      </c>
      <c r="I713" s="19">
        <f t="shared" si="713"/>
        <v>-1.9216245699421042E-2</v>
      </c>
      <c r="J713" s="17">
        <f t="shared" si="713"/>
        <v>-2.2688274547187803E-2</v>
      </c>
    </row>
    <row r="714" spans="2:10" ht="15.75" customHeight="1" x14ac:dyDescent="0.25">
      <c r="B714" s="21">
        <f ca="1">IFERROR(__xludf.DUMMYFUNCTION("""COMPUTED_VALUE"""),45593.6666666666)</f>
        <v>45593.666666666599</v>
      </c>
      <c r="C714" s="22">
        <f ca="1">IFERROR(__xludf.DUMMYFUNCTION("""COMPUTED_VALUE"""),225.5)</f>
        <v>225.5</v>
      </c>
      <c r="D714" s="22">
        <v>119.13</v>
      </c>
      <c r="E714" s="23">
        <v>523.58000000000004</v>
      </c>
      <c r="G714" s="21">
        <f t="shared" ca="1" si="515"/>
        <v>45593.666666666599</v>
      </c>
      <c r="H714" s="19">
        <f t="shared" ref="H714:J714" ca="1" si="714">(C714/C713) - 1</f>
        <v>1.4349332013854577E-2</v>
      </c>
      <c r="I714" s="19">
        <f t="shared" si="714"/>
        <v>1.9250513347022657E-2</v>
      </c>
      <c r="J714" s="17">
        <f t="shared" si="714"/>
        <v>2.1420210690596964E-2</v>
      </c>
    </row>
    <row r="715" spans="2:10" ht="15.75" customHeight="1" x14ac:dyDescent="0.25">
      <c r="B715" s="21">
        <f ca="1">IFERROR(__xludf.DUMMYFUNCTION("""COMPUTED_VALUE"""),45594.6666666666)</f>
        <v>45594.666666666599</v>
      </c>
      <c r="C715" s="22">
        <f ca="1">IFERROR(__xludf.DUMMYFUNCTION("""COMPUTED_VALUE"""),222.9)</f>
        <v>222.9</v>
      </c>
      <c r="D715" s="22">
        <v>119.3</v>
      </c>
      <c r="E715" s="23">
        <v>524.28</v>
      </c>
      <c r="G715" s="21">
        <f t="shared" ca="1" si="515"/>
        <v>45594.666666666599</v>
      </c>
      <c r="H715" s="19">
        <f t="shared" ref="H715:J715" ca="1" si="715">(C715/C714) - 1</f>
        <v>-1.1529933481152943E-2</v>
      </c>
      <c r="I715" s="19">
        <f t="shared" si="715"/>
        <v>1.4270125073450046E-3</v>
      </c>
      <c r="J715" s="17">
        <f t="shared" si="715"/>
        <v>1.3369494633101997E-3</v>
      </c>
    </row>
    <row r="716" spans="2:10" ht="15.75" customHeight="1" x14ac:dyDescent="0.25">
      <c r="B716" s="21">
        <f ca="1">IFERROR(__xludf.DUMMYFUNCTION("""COMPUTED_VALUE"""),45595.6666666666)</f>
        <v>45595.666666666599</v>
      </c>
      <c r="C716" s="22">
        <f ca="1">IFERROR(__xludf.DUMMYFUNCTION("""COMPUTED_VALUE"""),224.41)</f>
        <v>224.41</v>
      </c>
      <c r="D716" s="22">
        <v>117.92</v>
      </c>
      <c r="E716" s="23">
        <v>524.4</v>
      </c>
      <c r="G716" s="21">
        <f t="shared" ca="1" si="515"/>
        <v>45595.666666666599</v>
      </c>
      <c r="H716" s="19">
        <f t="shared" ref="H716:J716" ca="1" si="716">(C716/C715) - 1</f>
        <v>6.7743382682816655E-3</v>
      </c>
      <c r="I716" s="19">
        <f t="shared" si="716"/>
        <v>-1.1567476948868394E-2</v>
      </c>
      <c r="J716" s="17">
        <f t="shared" si="716"/>
        <v>2.2888532845044551E-4</v>
      </c>
    </row>
    <row r="717" spans="2:10" ht="15.75" customHeight="1" x14ac:dyDescent="0.25">
      <c r="B717" s="21">
        <f ca="1">IFERROR(__xludf.DUMMYFUNCTION("""COMPUTED_VALUE"""),45596.6666666666)</f>
        <v>45596.666666666599</v>
      </c>
      <c r="C717" s="22">
        <f ca="1">IFERROR(__xludf.DUMMYFUNCTION("""COMPUTED_VALUE"""),221.92)</f>
        <v>221.92</v>
      </c>
      <c r="D717" s="22">
        <v>116.25</v>
      </c>
      <c r="E717" s="23">
        <v>517.79</v>
      </c>
      <c r="G717" s="21">
        <f t="shared" ca="1" si="515"/>
        <v>45596.666666666599</v>
      </c>
      <c r="H717" s="19">
        <f t="shared" ref="H717:J717" ca="1" si="717">(C717/C716) - 1</f>
        <v>-1.1095762220934891E-2</v>
      </c>
      <c r="I717" s="19">
        <f t="shared" si="717"/>
        <v>-1.416214382632297E-2</v>
      </c>
      <c r="J717" s="17">
        <f t="shared" si="717"/>
        <v>-1.2604881769641474E-2</v>
      </c>
    </row>
    <row r="718" spans="2:10" ht="15.75" customHeight="1" x14ac:dyDescent="0.25">
      <c r="B718" s="21">
        <f ca="1">IFERROR(__xludf.DUMMYFUNCTION("""COMPUTED_VALUE"""),45597.6666666666)</f>
        <v>45597.666666666599</v>
      </c>
      <c r="C718" s="22">
        <f ca="1">IFERROR(__xludf.DUMMYFUNCTION("""COMPUTED_VALUE"""),222.94)</f>
        <v>222.94</v>
      </c>
      <c r="D718" s="22">
        <v>116.85</v>
      </c>
      <c r="E718" s="23">
        <v>519.35</v>
      </c>
      <c r="G718" s="21">
        <f t="shared" ca="1" si="515"/>
        <v>45597.666666666599</v>
      </c>
      <c r="H718" s="19">
        <f t="shared" ref="H718:J718" ca="1" si="718">(C718/C717) - 1</f>
        <v>4.5962509012256181E-3</v>
      </c>
      <c r="I718" s="19">
        <f t="shared" si="718"/>
        <v>5.1612903225806139E-3</v>
      </c>
      <c r="J718" s="17">
        <f t="shared" si="718"/>
        <v>3.0128044187798242E-3</v>
      </c>
    </row>
    <row r="719" spans="2:10" ht="15.75" customHeight="1" x14ac:dyDescent="0.25">
      <c r="B719" s="21">
        <f ca="1">IFERROR(__xludf.DUMMYFUNCTION("""COMPUTED_VALUE"""),45600.6666666666)</f>
        <v>45600.666666666599</v>
      </c>
      <c r="C719" s="22">
        <f ca="1">IFERROR(__xludf.DUMMYFUNCTION("""COMPUTED_VALUE"""),219.78)</f>
        <v>219.78</v>
      </c>
      <c r="D719" s="22">
        <v>116.14</v>
      </c>
      <c r="E719" s="23">
        <v>511.47</v>
      </c>
      <c r="G719" s="21">
        <f t="shared" ca="1" si="515"/>
        <v>45600.666666666599</v>
      </c>
      <c r="H719" s="19">
        <f t="shared" ref="H719:J719" ca="1" si="719">(C719/C718) - 1</f>
        <v>-1.4174217278191459E-2</v>
      </c>
      <c r="I719" s="19">
        <f t="shared" si="719"/>
        <v>-6.076166024818086E-3</v>
      </c>
      <c r="J719" s="17">
        <f t="shared" si="719"/>
        <v>-1.5172812169057415E-2</v>
      </c>
    </row>
    <row r="720" spans="2:10" ht="15.75" customHeight="1" x14ac:dyDescent="0.25">
      <c r="B720" s="21">
        <f ca="1">IFERROR(__xludf.DUMMYFUNCTION("""COMPUTED_VALUE"""),45601.6666666666)</f>
        <v>45601.666666666599</v>
      </c>
      <c r="C720" s="22">
        <f ca="1">IFERROR(__xludf.DUMMYFUNCTION("""COMPUTED_VALUE"""),221.49)</f>
        <v>221.49</v>
      </c>
      <c r="D720" s="22">
        <v>117.81</v>
      </c>
      <c r="E720" s="23">
        <v>526.96</v>
      </c>
      <c r="G720" s="21">
        <f t="shared" ca="1" si="515"/>
        <v>45601.666666666599</v>
      </c>
      <c r="H720" s="19">
        <f t="shared" ref="H720:J720" ca="1" si="720">(C720/C719) - 1</f>
        <v>7.7805077805077616E-3</v>
      </c>
      <c r="I720" s="19">
        <f t="shared" si="720"/>
        <v>1.437919752023431E-2</v>
      </c>
      <c r="J720" s="17">
        <f t="shared" si="720"/>
        <v>3.0285256222261303E-2</v>
      </c>
    </row>
    <row r="721" spans="2:10" ht="15.75" customHeight="1" x14ac:dyDescent="0.25">
      <c r="B721" s="21">
        <f ca="1">IFERROR(__xludf.DUMMYFUNCTION("""COMPUTED_VALUE"""),45602.6666666666)</f>
        <v>45602.666666666599</v>
      </c>
      <c r="C721" s="22">
        <f ca="1">IFERROR(__xludf.DUMMYFUNCTION("""COMPUTED_VALUE"""),247.06)</f>
        <v>247.06</v>
      </c>
      <c r="D721" s="22">
        <v>131.49</v>
      </c>
      <c r="E721" s="23">
        <v>595.98</v>
      </c>
      <c r="G721" s="21">
        <f t="shared" ca="1" si="515"/>
        <v>45602.666666666599</v>
      </c>
      <c r="H721" s="19">
        <f t="shared" ref="H721:J721" ca="1" si="721">(C721/C720) - 1</f>
        <v>0.11544539256851327</v>
      </c>
      <c r="I721" s="19">
        <f t="shared" si="721"/>
        <v>0.11611917494270441</v>
      </c>
      <c r="J721" s="17">
        <f t="shared" si="721"/>
        <v>0.13097768331562154</v>
      </c>
    </row>
    <row r="722" spans="2:10" ht="15.75" customHeight="1" x14ac:dyDescent="0.25">
      <c r="B722" s="21">
        <f ca="1">IFERROR(__xludf.DUMMYFUNCTION("""COMPUTED_VALUE"""),45603.6666666666)</f>
        <v>45603.666666666599</v>
      </c>
      <c r="C722" s="22">
        <f ca="1">IFERROR(__xludf.DUMMYFUNCTION("""COMPUTED_VALUE"""),236.38)</f>
        <v>236.38</v>
      </c>
      <c r="D722" s="22">
        <v>128.44</v>
      </c>
      <c r="E722" s="23">
        <v>582.16999999999996</v>
      </c>
      <c r="G722" s="21">
        <f t="shared" ca="1" si="515"/>
        <v>45603.666666666599</v>
      </c>
      <c r="H722" s="19">
        <f t="shared" ref="H722:J722" ca="1" si="722">(C722/C721) - 1</f>
        <v>-4.3228365579211503E-2</v>
      </c>
      <c r="I722" s="19">
        <f t="shared" si="722"/>
        <v>-2.3195680279869291E-2</v>
      </c>
      <c r="J722" s="17">
        <f t="shared" si="722"/>
        <v>-2.3171918520755841E-2</v>
      </c>
    </row>
    <row r="723" spans="2:10" ht="15.75" customHeight="1" x14ac:dyDescent="0.25">
      <c r="B723" s="21">
        <f ca="1">IFERROR(__xludf.DUMMYFUNCTION("""COMPUTED_VALUE"""),45604.6666666666)</f>
        <v>45604.666666666599</v>
      </c>
      <c r="C723" s="22">
        <f ca="1">IFERROR(__xludf.DUMMYFUNCTION("""COMPUTED_VALUE"""),236.98)</f>
        <v>236.98</v>
      </c>
      <c r="D723" s="22">
        <v>129.53</v>
      </c>
      <c r="E723" s="23">
        <v>589.26</v>
      </c>
      <c r="G723" s="21">
        <f t="shared" ca="1" si="515"/>
        <v>45604.666666666599</v>
      </c>
      <c r="H723" s="19">
        <f t="shared" ref="H723:J723" ca="1" si="723">(C723/C722) - 1</f>
        <v>2.5382858109823658E-3</v>
      </c>
      <c r="I723" s="19">
        <f t="shared" si="723"/>
        <v>8.4864528184367405E-3</v>
      </c>
      <c r="J723" s="17">
        <f t="shared" si="723"/>
        <v>1.2178573268976534E-2</v>
      </c>
    </row>
    <row r="724" spans="2:10" ht="15.75" customHeight="1" x14ac:dyDescent="0.25">
      <c r="B724" s="21">
        <f ca="1">IFERROR(__xludf.DUMMYFUNCTION("""COMPUTED_VALUE"""),45607.6666666666)</f>
        <v>45607.666666666599</v>
      </c>
      <c r="C724" s="22">
        <f ca="1">IFERROR(__xludf.DUMMYFUNCTION("""COMPUTED_VALUE"""),239.29)</f>
        <v>239.29</v>
      </c>
      <c r="D724" s="22">
        <v>133.52000000000001</v>
      </c>
      <c r="E724" s="23">
        <v>602.34</v>
      </c>
      <c r="G724" s="21">
        <f t="shared" ca="1" si="515"/>
        <v>45607.666666666599</v>
      </c>
      <c r="H724" s="19">
        <f t="shared" ref="H724:J724" ca="1" si="724">(C724/C723) - 1</f>
        <v>9.7476580302136018E-3</v>
      </c>
      <c r="I724" s="19">
        <f t="shared" si="724"/>
        <v>3.080367482436519E-2</v>
      </c>
      <c r="J724" s="17">
        <f t="shared" si="724"/>
        <v>2.219733224722531E-2</v>
      </c>
    </row>
    <row r="725" spans="2:10" ht="15.75" customHeight="1" x14ac:dyDescent="0.25">
      <c r="B725" s="21">
        <f ca="1">IFERROR(__xludf.DUMMYFUNCTION("""COMPUTED_VALUE"""),45608.6666666666)</f>
        <v>45608.666666666599</v>
      </c>
      <c r="C725" s="22">
        <f ca="1">IFERROR(__xludf.DUMMYFUNCTION("""COMPUTED_VALUE"""),239.56)</f>
        <v>239.56</v>
      </c>
      <c r="D725" s="22">
        <v>132.31</v>
      </c>
      <c r="E725" s="23">
        <v>592.59</v>
      </c>
      <c r="G725" s="21">
        <f t="shared" ca="1" si="515"/>
        <v>45608.666666666599</v>
      </c>
      <c r="H725" s="19">
        <f t="shared" ref="H725:J725" ca="1" si="725">(C725/C724) - 1</f>
        <v>1.1283379999165177E-3</v>
      </c>
      <c r="I725" s="19">
        <f t="shared" si="725"/>
        <v>-9.0623127621330957E-3</v>
      </c>
      <c r="J725" s="17">
        <f t="shared" si="725"/>
        <v>-1.6186871202310993E-2</v>
      </c>
    </row>
    <row r="726" spans="2:10" ht="15.75" customHeight="1" x14ac:dyDescent="0.25">
      <c r="B726" s="21">
        <f ca="1">IFERROR(__xludf.DUMMYFUNCTION("""COMPUTED_VALUE"""),45609.6666666666)</f>
        <v>45609.666666666599</v>
      </c>
      <c r="C726" s="22">
        <f ca="1">IFERROR(__xludf.DUMMYFUNCTION("""COMPUTED_VALUE"""),241.16)</f>
        <v>241.16</v>
      </c>
      <c r="D726" s="22">
        <v>132.76</v>
      </c>
      <c r="E726" s="23">
        <v>594.22</v>
      </c>
      <c r="G726" s="21">
        <f t="shared" ca="1" si="515"/>
        <v>45609.666666666599</v>
      </c>
      <c r="H726" s="19">
        <f t="shared" ref="H726:J726" ca="1" si="726">(C726/C725) - 1</f>
        <v>6.6789113374519093E-3</v>
      </c>
      <c r="I726" s="19">
        <f t="shared" si="726"/>
        <v>3.4011034691254771E-3</v>
      </c>
      <c r="J726" s="17">
        <f t="shared" si="726"/>
        <v>2.7506370340371067E-3</v>
      </c>
    </row>
    <row r="727" spans="2:10" ht="15.75" customHeight="1" x14ac:dyDescent="0.25">
      <c r="B727" s="21">
        <f ca="1">IFERROR(__xludf.DUMMYFUNCTION("""COMPUTED_VALUE"""),45610.6666666666)</f>
        <v>45610.666666666599</v>
      </c>
      <c r="C727" s="22">
        <f ca="1">IFERROR(__xludf.DUMMYFUNCTION("""COMPUTED_VALUE"""),241.87)</f>
        <v>241.87</v>
      </c>
      <c r="D727" s="22">
        <v>132.43</v>
      </c>
      <c r="E727" s="23">
        <v>588.61</v>
      </c>
      <c r="G727" s="21">
        <f t="shared" ca="1" si="515"/>
        <v>45610.666666666599</v>
      </c>
      <c r="H727" s="19">
        <f t="shared" ref="H727:J727" ca="1" si="727">(C727/C726) - 1</f>
        <v>2.9441034997512716E-3</v>
      </c>
      <c r="I727" s="19">
        <f t="shared" si="727"/>
        <v>-2.4856884603795537E-3</v>
      </c>
      <c r="J727" s="17">
        <f t="shared" si="727"/>
        <v>-9.4409477971122424E-3</v>
      </c>
    </row>
    <row r="728" spans="2:10" ht="15.75" customHeight="1" x14ac:dyDescent="0.25">
      <c r="B728" s="21">
        <f ca="1">IFERROR(__xludf.DUMMYFUNCTION("""COMPUTED_VALUE"""),45611.6666666666)</f>
        <v>45611.666666666599</v>
      </c>
      <c r="C728" s="22">
        <f ca="1">IFERROR(__xludf.DUMMYFUNCTION("""COMPUTED_VALUE"""),245.31)</f>
        <v>245.31</v>
      </c>
      <c r="D728" s="22">
        <v>134.06</v>
      </c>
      <c r="E728" s="23">
        <v>593.54</v>
      </c>
      <c r="G728" s="21">
        <f t="shared" ca="1" si="515"/>
        <v>45611.666666666599</v>
      </c>
      <c r="H728" s="19">
        <f t="shared" ref="H728:J728" ca="1" si="728">(C728/C727) - 1</f>
        <v>1.4222516227725635E-2</v>
      </c>
      <c r="I728" s="19">
        <f t="shared" si="728"/>
        <v>1.2308389337763348E-2</v>
      </c>
      <c r="J728" s="17">
        <f t="shared" si="728"/>
        <v>8.3756647015849062E-3</v>
      </c>
    </row>
    <row r="729" spans="2:10" ht="15.75" customHeight="1" x14ac:dyDescent="0.25">
      <c r="B729" s="21">
        <f ca="1">IFERROR(__xludf.DUMMYFUNCTION("""COMPUTED_VALUE"""),45614.6666666666)</f>
        <v>45614.666666666599</v>
      </c>
      <c r="C729" s="22">
        <f ca="1">IFERROR(__xludf.DUMMYFUNCTION("""COMPUTED_VALUE"""),245.03)</f>
        <v>245.03</v>
      </c>
      <c r="D729" s="22">
        <v>133.78</v>
      </c>
      <c r="E729" s="23">
        <v>587.99</v>
      </c>
      <c r="G729" s="21">
        <f t="shared" ca="1" si="515"/>
        <v>45614.666666666599</v>
      </c>
      <c r="H729" s="19">
        <f t="shared" ref="H729:J729" ca="1" si="729">(C729/C728) - 1</f>
        <v>-1.1414129061187994E-3</v>
      </c>
      <c r="I729" s="19">
        <f t="shared" si="729"/>
        <v>-2.0886170371475776E-3</v>
      </c>
      <c r="J729" s="17">
        <f t="shared" si="729"/>
        <v>-9.3506756073726827E-3</v>
      </c>
    </row>
    <row r="730" spans="2:10" ht="15.75" customHeight="1" x14ac:dyDescent="0.25">
      <c r="B730" s="21">
        <f ca="1">IFERROR(__xludf.DUMMYFUNCTION("""COMPUTED_VALUE"""),45615.6666666666)</f>
        <v>45615.666666666599</v>
      </c>
      <c r="C730" s="22">
        <f ca="1">IFERROR(__xludf.DUMMYFUNCTION("""COMPUTED_VALUE"""),243.09)</f>
        <v>243.09</v>
      </c>
      <c r="D730" s="22">
        <v>132.24</v>
      </c>
      <c r="E730" s="23">
        <v>581.38</v>
      </c>
      <c r="G730" s="21">
        <f t="shared" ca="1" si="515"/>
        <v>45615.666666666599</v>
      </c>
      <c r="H730" s="19">
        <f t="shared" ref="H730:J730" ca="1" si="730">(C730/C729) - 1</f>
        <v>-7.9173978696486236E-3</v>
      </c>
      <c r="I730" s="19">
        <f t="shared" si="730"/>
        <v>-1.1511436687098198E-2</v>
      </c>
      <c r="J730" s="17">
        <f t="shared" si="730"/>
        <v>-1.1241687783805854E-2</v>
      </c>
    </row>
    <row r="731" spans="2:10" ht="15.75" customHeight="1" x14ac:dyDescent="0.25">
      <c r="B731" s="21">
        <f ca="1">IFERROR(__xludf.DUMMYFUNCTION("""COMPUTED_VALUE"""),45616.6666666666)</f>
        <v>45616.666666666599</v>
      </c>
      <c r="C731" s="22">
        <f ca="1">IFERROR(__xludf.DUMMYFUNCTION("""COMPUTED_VALUE"""),240.78)</f>
        <v>240.78</v>
      </c>
      <c r="D731" s="22">
        <v>131.69</v>
      </c>
      <c r="E731" s="23">
        <v>581.92999999999995</v>
      </c>
      <c r="G731" s="21">
        <f t="shared" ca="1" si="515"/>
        <v>45616.666666666599</v>
      </c>
      <c r="H731" s="19">
        <f t="shared" ref="H731:J731" ca="1" si="731">(C731/C730) - 1</f>
        <v>-9.5026533382698286E-3</v>
      </c>
      <c r="I731" s="19">
        <f t="shared" si="731"/>
        <v>-4.1591046581973545E-3</v>
      </c>
      <c r="J731" s="17">
        <f t="shared" si="731"/>
        <v>9.4602497505924532E-4</v>
      </c>
    </row>
    <row r="732" spans="2:10" ht="15.75" customHeight="1" x14ac:dyDescent="0.25">
      <c r="B732" s="21">
        <f ca="1">IFERROR(__xludf.DUMMYFUNCTION("""COMPUTED_VALUE"""),45617.6666666666)</f>
        <v>45617.666666666599</v>
      </c>
      <c r="C732" s="22">
        <f ca="1">IFERROR(__xludf.DUMMYFUNCTION("""COMPUTED_VALUE"""),244.76)</f>
        <v>244.76</v>
      </c>
      <c r="D732" s="22">
        <v>134.99</v>
      </c>
      <c r="E732" s="23">
        <v>596.11</v>
      </c>
      <c r="G732" s="21">
        <f t="shared" ca="1" si="515"/>
        <v>45617.666666666599</v>
      </c>
      <c r="H732" s="19">
        <f t="shared" ref="H732:J732" ca="1" si="732">(C732/C731) - 1</f>
        <v>1.6529612094027701E-2</v>
      </c>
      <c r="I732" s="19">
        <f t="shared" si="732"/>
        <v>2.5058850330321292E-2</v>
      </c>
      <c r="J732" s="17">
        <f t="shared" si="732"/>
        <v>2.4367191930301013E-2</v>
      </c>
    </row>
    <row r="733" spans="2:10" ht="15.75" customHeight="1" x14ac:dyDescent="0.25">
      <c r="B733" s="21">
        <f ca="1">IFERROR(__xludf.DUMMYFUNCTION("""COMPUTED_VALUE"""),45618.6666666666)</f>
        <v>45618.666666666599</v>
      </c>
      <c r="C733" s="22">
        <f ca="1">IFERROR(__xludf.DUMMYFUNCTION("""COMPUTED_VALUE"""),248.55)</f>
        <v>248.55</v>
      </c>
      <c r="D733" s="22">
        <v>134.69</v>
      </c>
      <c r="E733" s="23">
        <v>602.78</v>
      </c>
      <c r="G733" s="21">
        <f t="shared" ca="1" si="515"/>
        <v>45618.666666666599</v>
      </c>
      <c r="H733" s="19">
        <f t="shared" ref="H733:J733" ca="1" si="733">(C733/C732) - 1</f>
        <v>1.548455630004919E-2</v>
      </c>
      <c r="I733" s="19">
        <f t="shared" si="733"/>
        <v>-2.2223868434699812E-3</v>
      </c>
      <c r="J733" s="17">
        <f t="shared" si="733"/>
        <v>1.1189210045125852E-2</v>
      </c>
    </row>
    <row r="734" spans="2:10" ht="15.75" customHeight="1" x14ac:dyDescent="0.25">
      <c r="B734" s="21">
        <f ca="1">IFERROR(__xludf.DUMMYFUNCTION("""COMPUTED_VALUE"""),45621.6666666666)</f>
        <v>45621.666666666599</v>
      </c>
      <c r="C734" s="22">
        <f ca="1">IFERROR(__xludf.DUMMYFUNCTION("""COMPUTED_VALUE"""),250.29)</f>
        <v>250.29</v>
      </c>
      <c r="D734" s="22">
        <v>133.66</v>
      </c>
      <c r="E734" s="23">
        <v>603.03</v>
      </c>
      <c r="G734" s="21">
        <f t="shared" ca="1" si="515"/>
        <v>45621.666666666599</v>
      </c>
      <c r="H734" s="19">
        <f t="shared" ref="H734:J734" ca="1" si="734">(C734/C733) - 1</f>
        <v>7.0006035003016276E-3</v>
      </c>
      <c r="I734" s="19">
        <f t="shared" si="734"/>
        <v>-7.6471898433440044E-3</v>
      </c>
      <c r="J734" s="17">
        <f t="shared" si="734"/>
        <v>4.1474501476490566E-4</v>
      </c>
    </row>
    <row r="735" spans="2:10" ht="15.75" customHeight="1" x14ac:dyDescent="0.25">
      <c r="B735" s="21">
        <f ca="1">IFERROR(__xludf.DUMMYFUNCTION("""COMPUTED_VALUE"""),45622.6666666666)</f>
        <v>45622.666666666599</v>
      </c>
      <c r="C735" s="22">
        <f ca="1">IFERROR(__xludf.DUMMYFUNCTION("""COMPUTED_VALUE"""),249.97)</f>
        <v>249.97</v>
      </c>
      <c r="D735" s="22">
        <v>131.28</v>
      </c>
      <c r="E735" s="23">
        <v>605.5</v>
      </c>
      <c r="G735" s="21">
        <f t="shared" ca="1" si="515"/>
        <v>45622.666666666599</v>
      </c>
      <c r="H735" s="19">
        <f t="shared" ref="H735:J735" ca="1" si="735">(C735/C734) - 1</f>
        <v>-1.2785169203722857E-3</v>
      </c>
      <c r="I735" s="19">
        <f t="shared" si="735"/>
        <v>-1.7806374382762225E-2</v>
      </c>
      <c r="J735" s="17">
        <f t="shared" si="735"/>
        <v>4.0959819577799372E-3</v>
      </c>
    </row>
    <row r="736" spans="2:10" ht="15.75" customHeight="1" x14ac:dyDescent="0.25">
      <c r="B736" s="21">
        <f ca="1">IFERROR(__xludf.DUMMYFUNCTION("""COMPUTED_VALUE"""),45623.6666666666)</f>
        <v>45623.666666666599</v>
      </c>
      <c r="C736" s="22">
        <f ca="1">IFERROR(__xludf.DUMMYFUNCTION("""COMPUTED_VALUE"""),249.79)</f>
        <v>249.79</v>
      </c>
      <c r="D736" s="22">
        <v>131.21</v>
      </c>
      <c r="E736" s="23">
        <v>605.42999999999995</v>
      </c>
      <c r="G736" s="21">
        <f t="shared" ca="1" si="515"/>
        <v>45623.666666666599</v>
      </c>
      <c r="H736" s="19">
        <f t="shared" ref="H736:J736" ca="1" si="736">(C736/C735) - 1</f>
        <v>-7.2008641036924725E-4</v>
      </c>
      <c r="I736" s="19">
        <f t="shared" si="736"/>
        <v>-5.3321145642892809E-4</v>
      </c>
      <c r="J736" s="17">
        <f t="shared" si="736"/>
        <v>-1.1560693641621267E-4</v>
      </c>
    </row>
    <row r="737" spans="2:10" ht="15.75" customHeight="1" x14ac:dyDescent="0.25">
      <c r="B737" s="21">
        <f ca="1">IFERROR(__xludf.DUMMYFUNCTION("""COMPUTED_VALUE"""),45625.5416666666)</f>
        <v>45625.541666666599</v>
      </c>
      <c r="C737" s="22">
        <f ca="1">IFERROR(__xludf.DUMMYFUNCTION("""COMPUTED_VALUE"""),249.72)</f>
        <v>249.72</v>
      </c>
      <c r="D737" s="22">
        <v>131.61000000000001</v>
      </c>
      <c r="E737" s="23">
        <v>608.57000000000005</v>
      </c>
      <c r="G737" s="21">
        <f t="shared" ca="1" si="515"/>
        <v>45625.541666666599</v>
      </c>
      <c r="H737" s="19">
        <f t="shared" ref="H737:J737" ca="1" si="737">(C737/C736) - 1</f>
        <v>-2.8023539773402995E-4</v>
      </c>
      <c r="I737" s="19">
        <f t="shared" si="737"/>
        <v>3.0485481289537208E-3</v>
      </c>
      <c r="J737" s="17">
        <f t="shared" si="737"/>
        <v>5.1863964455016731E-3</v>
      </c>
    </row>
    <row r="738" spans="2:10" ht="15.75" customHeight="1" x14ac:dyDescent="0.25">
      <c r="B738" s="21">
        <f ca="1">IFERROR(__xludf.DUMMYFUNCTION("""COMPUTED_VALUE"""),45628.6666666666)</f>
        <v>45628.666666666599</v>
      </c>
      <c r="C738" s="22">
        <f ca="1">IFERROR(__xludf.DUMMYFUNCTION("""COMPUTED_VALUE"""),246.25)</f>
        <v>246.25</v>
      </c>
      <c r="D738" s="22">
        <v>131.03</v>
      </c>
      <c r="E738" s="23">
        <v>601.71</v>
      </c>
      <c r="G738" s="21">
        <f t="shared" ca="1" si="515"/>
        <v>45628.666666666599</v>
      </c>
      <c r="H738" s="19">
        <f t="shared" ref="H738:J738" ca="1" si="738">(C738/C737) - 1</f>
        <v>-1.3895563030594249E-2</v>
      </c>
      <c r="I738" s="19">
        <f t="shared" si="738"/>
        <v>-4.4069599574501073E-3</v>
      </c>
      <c r="J738" s="17">
        <f t="shared" si="738"/>
        <v>-1.1272326930344967E-2</v>
      </c>
    </row>
    <row r="739" spans="2:10" ht="15.75" customHeight="1" x14ac:dyDescent="0.25">
      <c r="B739" s="21">
        <f ca="1">IFERROR(__xludf.DUMMYFUNCTION("""COMPUTED_VALUE"""),45629.6666666666)</f>
        <v>45629.666666666599</v>
      </c>
      <c r="C739" s="22">
        <f ca="1">IFERROR(__xludf.DUMMYFUNCTION("""COMPUTED_VALUE"""),244.82)</f>
        <v>244.82</v>
      </c>
      <c r="D739" s="22">
        <v>130.44</v>
      </c>
      <c r="E739" s="23">
        <v>602.08000000000004</v>
      </c>
      <c r="G739" s="21">
        <f t="shared" ca="1" si="515"/>
        <v>45629.666666666599</v>
      </c>
      <c r="H739" s="19">
        <f t="shared" ref="H739:J739" ca="1" si="739">(C739/C738) - 1</f>
        <v>-5.807106598984757E-3</v>
      </c>
      <c r="I739" s="19">
        <f t="shared" si="739"/>
        <v>-4.5027856216134365E-3</v>
      </c>
      <c r="J739" s="17">
        <f t="shared" si="739"/>
        <v>6.1491416130698973E-4</v>
      </c>
    </row>
    <row r="740" spans="2:10" ht="15.75" customHeight="1" x14ac:dyDescent="0.25">
      <c r="B740" s="21">
        <f ca="1">IFERROR(__xludf.DUMMYFUNCTION("""COMPUTED_VALUE"""),45630.6666666666)</f>
        <v>45630.666666666599</v>
      </c>
      <c r="C740" s="22">
        <f ca="1">IFERROR(__xludf.DUMMYFUNCTION("""COMPUTED_VALUE"""),243.4)</f>
        <v>243.4</v>
      </c>
      <c r="D740" s="22">
        <v>129.99</v>
      </c>
      <c r="E740" s="23">
        <v>598.71</v>
      </c>
      <c r="G740" s="21">
        <f t="shared" ca="1" si="515"/>
        <v>45630.666666666599</v>
      </c>
      <c r="H740" s="19">
        <f t="shared" ref="H740:J740" ca="1" si="740">(C740/C739) - 1</f>
        <v>-5.8001797238786956E-3</v>
      </c>
      <c r="I740" s="19">
        <f t="shared" si="740"/>
        <v>-3.449862005519666E-3</v>
      </c>
      <c r="J740" s="17">
        <f t="shared" si="740"/>
        <v>-5.5972628222162868E-3</v>
      </c>
    </row>
    <row r="741" spans="2:10" ht="15.75" customHeight="1" x14ac:dyDescent="0.25">
      <c r="B741" s="21">
        <f ca="1">IFERROR(__xludf.DUMMYFUNCTION("""COMPUTED_VALUE"""),45631.6666666666)</f>
        <v>45631.666666666599</v>
      </c>
      <c r="C741" s="22">
        <f ca="1">IFERROR(__xludf.DUMMYFUNCTION("""COMPUTED_VALUE"""),245.48)</f>
        <v>245.48</v>
      </c>
      <c r="D741" s="22">
        <v>130.32</v>
      </c>
      <c r="E741" s="23">
        <v>596.79999999999995</v>
      </c>
      <c r="G741" s="21">
        <f t="shared" ca="1" si="515"/>
        <v>45631.666666666599</v>
      </c>
      <c r="H741" s="19">
        <f t="shared" ref="H741:J741" ca="1" si="741">(C741/C740) - 1</f>
        <v>8.5456039441247356E-3</v>
      </c>
      <c r="I741" s="19">
        <f t="shared" si="741"/>
        <v>2.5386568197551806E-3</v>
      </c>
      <c r="J741" s="17">
        <f t="shared" si="741"/>
        <v>-3.1901922466638366E-3</v>
      </c>
    </row>
    <row r="742" spans="2:10" ht="15.75" customHeight="1" x14ac:dyDescent="0.25">
      <c r="B742" s="21">
        <f ca="1">IFERROR(__xludf.DUMMYFUNCTION("""COMPUTED_VALUE"""),45632.6666666666)</f>
        <v>45632.666666666599</v>
      </c>
      <c r="C742" s="22">
        <f ca="1">IFERROR(__xludf.DUMMYFUNCTION("""COMPUTED_VALUE"""),247.36)</f>
        <v>247.36</v>
      </c>
      <c r="D742" s="22">
        <v>129.96</v>
      </c>
      <c r="E742" s="23">
        <v>599.67999999999995</v>
      </c>
      <c r="G742" s="21">
        <f t="shared" ca="1" si="515"/>
        <v>45632.666666666599</v>
      </c>
      <c r="H742" s="19">
        <f t="shared" ref="H742:J742" ca="1" si="742">(C742/C741) - 1</f>
        <v>7.6584650480691074E-3</v>
      </c>
      <c r="I742" s="19">
        <f t="shared" si="742"/>
        <v>-2.7624309392264568E-3</v>
      </c>
      <c r="J742" s="17">
        <f t="shared" si="742"/>
        <v>4.825737265415464E-3</v>
      </c>
    </row>
    <row r="743" spans="2:10" ht="15.75" customHeight="1" x14ac:dyDescent="0.25">
      <c r="B743" s="21">
        <f ca="1">IFERROR(__xludf.DUMMYFUNCTION("""COMPUTED_VALUE"""),45635.6666666666)</f>
        <v>45635.666666666599</v>
      </c>
      <c r="C743" s="22">
        <f ca="1">IFERROR(__xludf.DUMMYFUNCTION("""COMPUTED_VALUE"""),243.81)</f>
        <v>243.81</v>
      </c>
      <c r="D743" s="22">
        <v>128.58000000000001</v>
      </c>
      <c r="E743" s="23">
        <v>594.12</v>
      </c>
      <c r="G743" s="21">
        <f t="shared" ca="1" si="515"/>
        <v>45635.666666666599</v>
      </c>
      <c r="H743" s="19">
        <f t="shared" ref="H743:J743" ca="1" si="743">(C743/C742) - 1</f>
        <v>-1.4351552393273015E-2</v>
      </c>
      <c r="I743" s="19">
        <f t="shared" si="743"/>
        <v>-1.061865189289013E-2</v>
      </c>
      <c r="J743" s="17">
        <f t="shared" si="743"/>
        <v>-9.2716115261471943E-3</v>
      </c>
    </row>
    <row r="744" spans="2:10" ht="15.75" customHeight="1" x14ac:dyDescent="0.25">
      <c r="B744" s="21">
        <f ca="1">IFERROR(__xludf.DUMMYFUNCTION("""COMPUTED_VALUE"""),45636.6666666666)</f>
        <v>45636.666666666599</v>
      </c>
      <c r="C744" s="22">
        <f ca="1">IFERROR(__xludf.DUMMYFUNCTION("""COMPUTED_VALUE"""),242.86)</f>
        <v>242.86</v>
      </c>
      <c r="D744" s="22">
        <v>126.79</v>
      </c>
      <c r="E744" s="23">
        <v>585.03</v>
      </c>
      <c r="G744" s="21">
        <f t="shared" ca="1" si="515"/>
        <v>45636.666666666599</v>
      </c>
      <c r="H744" s="19">
        <f t="shared" ref="H744:J744" ca="1" si="744">(C744/C743) - 1</f>
        <v>-3.8964767646937348E-3</v>
      </c>
      <c r="I744" s="19">
        <f t="shared" si="744"/>
        <v>-1.392129413594656E-2</v>
      </c>
      <c r="J744" s="17">
        <f t="shared" si="744"/>
        <v>-1.5299939406180574E-2</v>
      </c>
    </row>
    <row r="745" spans="2:10" ht="15.75" customHeight="1" x14ac:dyDescent="0.25">
      <c r="B745" s="21">
        <f ca="1">IFERROR(__xludf.DUMMYFUNCTION("""COMPUTED_VALUE"""),45637.6666666666)</f>
        <v>45637.666666666599</v>
      </c>
      <c r="C745" s="22">
        <f ca="1">IFERROR(__xludf.DUMMYFUNCTION("""COMPUTED_VALUE"""),243.53)</f>
        <v>243.53</v>
      </c>
      <c r="D745" s="22">
        <v>127.59</v>
      </c>
      <c r="E745" s="23">
        <v>592.55999999999995</v>
      </c>
      <c r="G745" s="21">
        <f t="shared" ca="1" si="515"/>
        <v>45637.666666666599</v>
      </c>
      <c r="H745" s="19">
        <f t="shared" ref="H745:J745" ca="1" si="745">(C745/C744) - 1</f>
        <v>2.7587910730462184E-3</v>
      </c>
      <c r="I745" s="19">
        <f t="shared" si="745"/>
        <v>6.3096458711253689E-3</v>
      </c>
      <c r="J745" s="17">
        <f t="shared" si="745"/>
        <v>1.287113481359925E-2</v>
      </c>
    </row>
    <row r="746" spans="2:10" ht="15.75" customHeight="1" x14ac:dyDescent="0.25">
      <c r="B746" s="21">
        <f ca="1">IFERROR(__xludf.DUMMYFUNCTION("""COMPUTED_VALUE"""),45638.6666666666)</f>
        <v>45638.666666666599</v>
      </c>
      <c r="C746" s="22">
        <f ca="1">IFERROR(__xludf.DUMMYFUNCTION("""COMPUTED_VALUE"""),241.53)</f>
        <v>241.53</v>
      </c>
      <c r="D746" s="22">
        <v>127.91</v>
      </c>
      <c r="E746" s="23">
        <v>591.61</v>
      </c>
      <c r="G746" s="21">
        <f t="shared" ca="1" si="515"/>
        <v>45638.666666666599</v>
      </c>
      <c r="H746" s="19">
        <f t="shared" ref="H746:J746" ca="1" si="746">(C746/C745) - 1</f>
        <v>-8.2125405494190007E-3</v>
      </c>
      <c r="I746" s="19">
        <f t="shared" si="746"/>
        <v>2.5080335449485514E-3</v>
      </c>
      <c r="J746" s="17">
        <f t="shared" si="746"/>
        <v>-1.6032131767246272E-3</v>
      </c>
    </row>
    <row r="747" spans="2:10" ht="15.75" customHeight="1" x14ac:dyDescent="0.25">
      <c r="B747" s="21">
        <f ca="1">IFERROR(__xludf.DUMMYFUNCTION("""COMPUTED_VALUE"""),45639.6666666666)</f>
        <v>45639.666666666599</v>
      </c>
      <c r="C747" s="22">
        <f ca="1">IFERROR(__xludf.DUMMYFUNCTION("""COMPUTED_VALUE"""),239.94)</f>
        <v>239.94</v>
      </c>
      <c r="D747" s="22">
        <v>127.4</v>
      </c>
      <c r="E747" s="23">
        <v>585.48</v>
      </c>
      <c r="G747" s="21">
        <f t="shared" ca="1" si="515"/>
        <v>45639.666666666599</v>
      </c>
      <c r="H747" s="19">
        <f t="shared" ref="H747:J747" ca="1" si="747">(C747/C746) - 1</f>
        <v>-6.5830331635822192E-3</v>
      </c>
      <c r="I747" s="19">
        <f t="shared" si="747"/>
        <v>-3.9871784848720671E-3</v>
      </c>
      <c r="J747" s="17">
        <f t="shared" si="747"/>
        <v>-1.0361555754635599E-2</v>
      </c>
    </row>
    <row r="748" spans="2:10" ht="15.75" customHeight="1" x14ac:dyDescent="0.25">
      <c r="B748" s="21">
        <f ca="1">IFERROR(__xludf.DUMMYFUNCTION("""COMPUTED_VALUE"""),45642.6666666666)</f>
        <v>45642.666666666599</v>
      </c>
      <c r="C748" s="22">
        <f ca="1">IFERROR(__xludf.DUMMYFUNCTION("""COMPUTED_VALUE"""),239.58)</f>
        <v>239.58</v>
      </c>
      <c r="D748" s="22">
        <v>129.03</v>
      </c>
      <c r="E748" s="23">
        <v>586.33000000000004</v>
      </c>
      <c r="G748" s="21">
        <f t="shared" ca="1" si="515"/>
        <v>45642.666666666599</v>
      </c>
      <c r="H748" s="19">
        <f t="shared" ref="H748:J748" ca="1" si="748">(C748/C747) - 1</f>
        <v>-1.5003750937734317E-3</v>
      </c>
      <c r="I748" s="19">
        <f t="shared" si="748"/>
        <v>1.2794348508634146E-2</v>
      </c>
      <c r="J748" s="17">
        <f t="shared" si="748"/>
        <v>1.4518002322880807E-3</v>
      </c>
    </row>
    <row r="749" spans="2:10" ht="15.75" customHeight="1" x14ac:dyDescent="0.25">
      <c r="B749" s="21">
        <f ca="1">IFERROR(__xludf.DUMMYFUNCTION("""COMPUTED_VALUE"""),45643.6666666666)</f>
        <v>45643.666666666599</v>
      </c>
      <c r="C749" s="22">
        <f ca="1">IFERROR(__xludf.DUMMYFUNCTION("""COMPUTED_VALUE"""),238.36)</f>
        <v>238.36</v>
      </c>
      <c r="D749" s="22">
        <v>127.74</v>
      </c>
      <c r="E749" s="23">
        <v>574.67999999999995</v>
      </c>
      <c r="G749" s="21">
        <f t="shared" ca="1" si="515"/>
        <v>45643.666666666599</v>
      </c>
      <c r="H749" s="19">
        <f t="shared" ref="H749:J749" ca="1" si="749">(C749/C748) - 1</f>
        <v>-5.0922447616662536E-3</v>
      </c>
      <c r="I749" s="19">
        <f t="shared" si="749"/>
        <v>-9.9976749593118086E-3</v>
      </c>
      <c r="J749" s="17">
        <f t="shared" si="749"/>
        <v>-1.9869356846827002E-2</v>
      </c>
    </row>
    <row r="750" spans="2:10" ht="15.75" customHeight="1" x14ac:dyDescent="0.25">
      <c r="B750" s="21">
        <f ca="1">IFERROR(__xludf.DUMMYFUNCTION("""COMPUTED_VALUE"""),45644.6666666666)</f>
        <v>45644.666666666599</v>
      </c>
      <c r="C750" s="22">
        <f ca="1">IFERROR(__xludf.DUMMYFUNCTION("""COMPUTED_VALUE"""),230.37)</f>
        <v>230.37</v>
      </c>
      <c r="D750" s="22">
        <v>121.04</v>
      </c>
      <c r="E750" s="23">
        <v>550.25</v>
      </c>
      <c r="G750" s="21">
        <f t="shared" ca="1" si="515"/>
        <v>45644.666666666599</v>
      </c>
      <c r="H750" s="19">
        <f t="shared" ref="H750:J750" ca="1" si="750">(C750/C749) - 1</f>
        <v>-3.3520724953851389E-2</v>
      </c>
      <c r="I750" s="19">
        <f t="shared" si="750"/>
        <v>-5.2450289650853188E-2</v>
      </c>
      <c r="J750" s="17">
        <f t="shared" si="750"/>
        <v>-4.2510614602909391E-2</v>
      </c>
    </row>
    <row r="751" spans="2:10" ht="15.75" customHeight="1" x14ac:dyDescent="0.25">
      <c r="B751" s="21">
        <f ca="1">IFERROR(__xludf.DUMMYFUNCTION("""COMPUTED_VALUE"""),45645.6666666666)</f>
        <v>45645.666666666599</v>
      </c>
      <c r="C751" s="22">
        <f ca="1">IFERROR(__xludf.DUMMYFUNCTION("""COMPUTED_VALUE"""),232.96)</f>
        <v>232.96</v>
      </c>
      <c r="D751" s="22">
        <v>120.5</v>
      </c>
      <c r="E751" s="23">
        <v>553.99</v>
      </c>
      <c r="G751" s="21">
        <f t="shared" ca="1" si="515"/>
        <v>45645.666666666599</v>
      </c>
      <c r="H751" s="19">
        <f t="shared" ref="H751:J751" ca="1" si="751">(C751/C750) - 1</f>
        <v>1.1242783348526242E-2</v>
      </c>
      <c r="I751" s="19">
        <f t="shared" si="751"/>
        <v>-4.4613350958361275E-3</v>
      </c>
      <c r="J751" s="17">
        <f t="shared" si="751"/>
        <v>6.7969104952294579E-3</v>
      </c>
    </row>
    <row r="752" spans="2:10" ht="15.75" customHeight="1" x14ac:dyDescent="0.25">
      <c r="B752" s="21">
        <f ca="1">IFERROR(__xludf.DUMMYFUNCTION("""COMPUTED_VALUE"""),45646.6666666666)</f>
        <v>45646.666666666599</v>
      </c>
      <c r="C752" s="22">
        <f ca="1">IFERROR(__xludf.DUMMYFUNCTION("""COMPUTED_VALUE"""),237.6)</f>
        <v>237.6</v>
      </c>
      <c r="D752" s="22">
        <v>123.44</v>
      </c>
      <c r="E752" s="23">
        <v>566.1</v>
      </c>
      <c r="G752" s="21">
        <f t="shared" ca="1" si="515"/>
        <v>45646.666666666599</v>
      </c>
      <c r="H752" s="19">
        <f t="shared" ref="H752:J752" ca="1" si="752">(C752/C751) - 1</f>
        <v>1.9917582417582347E-2</v>
      </c>
      <c r="I752" s="19">
        <f t="shared" si="752"/>
        <v>2.4398340248962702E-2</v>
      </c>
      <c r="J752" s="17">
        <f t="shared" si="752"/>
        <v>2.1859600353796971E-2</v>
      </c>
    </row>
    <row r="753" spans="2:10" ht="15.75" customHeight="1" x14ac:dyDescent="0.25">
      <c r="B753" s="21">
        <f ca="1">IFERROR(__xludf.DUMMYFUNCTION("""COMPUTED_VALUE"""),45649.6666666666)</f>
        <v>45649.666666666599</v>
      </c>
      <c r="C753" s="22">
        <f ca="1">IFERROR(__xludf.DUMMYFUNCTION("""COMPUTED_VALUE"""),238.39)</f>
        <v>238.39</v>
      </c>
      <c r="D753" s="22">
        <v>124.45</v>
      </c>
      <c r="E753" s="23">
        <v>570.78</v>
      </c>
      <c r="G753" s="21">
        <f t="shared" ca="1" si="515"/>
        <v>45649.666666666599</v>
      </c>
      <c r="H753" s="19">
        <f t="shared" ref="H753:J753" ca="1" si="753">(C753/C752) - 1</f>
        <v>3.3249158249157862E-3</v>
      </c>
      <c r="I753" s="19">
        <f t="shared" si="753"/>
        <v>8.1821127673364913E-3</v>
      </c>
      <c r="J753" s="17">
        <f t="shared" si="753"/>
        <v>8.2670906200317251E-3</v>
      </c>
    </row>
    <row r="754" spans="2:10" ht="15.75" customHeight="1" x14ac:dyDescent="0.25">
      <c r="B754" s="21">
        <f ca="1">IFERROR(__xludf.DUMMYFUNCTION("""COMPUTED_VALUE"""),45650.5416666666)</f>
        <v>45650.541666666599</v>
      </c>
      <c r="C754" s="22">
        <f ca="1">IFERROR(__xludf.DUMMYFUNCTION("""COMPUTED_VALUE"""),242.31)</f>
        <v>242.31</v>
      </c>
      <c r="D754" s="22">
        <v>127.06</v>
      </c>
      <c r="E754" s="23">
        <v>582.79</v>
      </c>
      <c r="G754" s="21">
        <f t="shared" ca="1" si="515"/>
        <v>45650.541666666599</v>
      </c>
      <c r="H754" s="19">
        <f t="shared" ref="H754:J754" ca="1" si="754">(C754/C753) - 1</f>
        <v>1.6443642770250566E-2</v>
      </c>
      <c r="I754" s="19">
        <f t="shared" si="754"/>
        <v>2.0972278023302593E-2</v>
      </c>
      <c r="J754" s="17">
        <f t="shared" si="754"/>
        <v>2.1041381968534223E-2</v>
      </c>
    </row>
    <row r="755" spans="2:10" ht="15.75" customHeight="1" x14ac:dyDescent="0.25">
      <c r="B755" s="21">
        <f ca="1">IFERROR(__xludf.DUMMYFUNCTION("""COMPUTED_VALUE"""),45652.6666666666)</f>
        <v>45652.666666666599</v>
      </c>
      <c r="C755" s="22">
        <f ca="1">IFERROR(__xludf.DUMMYFUNCTION("""COMPUTED_VALUE"""),243.14)</f>
        <v>243.14</v>
      </c>
      <c r="D755" s="22">
        <v>128.03</v>
      </c>
      <c r="E755" s="23">
        <v>581.23</v>
      </c>
      <c r="G755" s="21">
        <f t="shared" ca="1" si="515"/>
        <v>45652.666666666599</v>
      </c>
      <c r="H755" s="19">
        <f t="shared" ref="H755:J755" ca="1" si="755">(C755/C754) - 1</f>
        <v>3.425364202880532E-3</v>
      </c>
      <c r="I755" s="19">
        <f t="shared" si="755"/>
        <v>7.6341885723281155E-3</v>
      </c>
      <c r="J755" s="17">
        <f t="shared" si="755"/>
        <v>-2.6767789426722643E-3</v>
      </c>
    </row>
    <row r="756" spans="2:10" ht="15.75" customHeight="1" x14ac:dyDescent="0.25">
      <c r="B756" s="21">
        <f ca="1">IFERROR(__xludf.DUMMYFUNCTION("""COMPUTED_VALUE"""),45653.6666666666)</f>
        <v>45653.666666666599</v>
      </c>
      <c r="C756" s="22">
        <f ca="1">IFERROR(__xludf.DUMMYFUNCTION("""COMPUTED_VALUE"""),241.17)</f>
        <v>241.17</v>
      </c>
      <c r="D756" s="22">
        <v>126.76</v>
      </c>
      <c r="E756" s="23">
        <v>576.17999999999995</v>
      </c>
      <c r="G756" s="21">
        <f t="shared" ca="1" si="515"/>
        <v>45653.666666666599</v>
      </c>
      <c r="H756" s="19">
        <f t="shared" ref="H756:J756" ca="1" si="756">(C756/C755) - 1</f>
        <v>-8.102327876943316E-3</v>
      </c>
      <c r="I756" s="19">
        <f t="shared" si="756"/>
        <v>-9.9195501054439861E-3</v>
      </c>
      <c r="J756" s="17">
        <f t="shared" si="756"/>
        <v>-8.6884710011528865E-3</v>
      </c>
    </row>
    <row r="757" spans="2:10" ht="15.75" customHeight="1" x14ac:dyDescent="0.25">
      <c r="B757" s="21">
        <f ca="1">IFERROR(__xludf.DUMMYFUNCTION("""COMPUTED_VALUE"""),45656.6666666666)</f>
        <v>45656.666666666599</v>
      </c>
      <c r="C757" s="22">
        <f ca="1">IFERROR(__xludf.DUMMYFUNCTION("""COMPUTED_VALUE"""),239.32)</f>
        <v>239.32</v>
      </c>
      <c r="D757" s="22">
        <v>125.75</v>
      </c>
      <c r="E757" s="23">
        <v>573.54999999999995</v>
      </c>
      <c r="G757" s="21">
        <f t="shared" ca="1" si="515"/>
        <v>45656.666666666599</v>
      </c>
      <c r="H757" s="19">
        <f t="shared" ref="H757:J757" ca="1" si="757">(C757/C756) - 1</f>
        <v>-7.6709375129576651E-3</v>
      </c>
      <c r="I757" s="19">
        <f t="shared" si="757"/>
        <v>-7.9678131902808369E-3</v>
      </c>
      <c r="J757" s="17">
        <f t="shared" si="757"/>
        <v>-4.5645458016592144E-3</v>
      </c>
    </row>
    <row r="758" spans="2:10" ht="15.75" customHeight="1" x14ac:dyDescent="0.25">
      <c r="B758" s="48">
        <f ca="1">IFERROR(__xludf.DUMMYFUNCTION("""COMPUTED_VALUE"""),45657.6666666666)</f>
        <v>45657.666666666599</v>
      </c>
      <c r="C758" s="12">
        <f ca="1">IFERROR(__xludf.DUMMYFUNCTION("""COMPUTED_VALUE"""),239.71)</f>
        <v>239.71</v>
      </c>
      <c r="D758" s="12">
        <v>125.72</v>
      </c>
      <c r="E758" s="13">
        <v>572.62</v>
      </c>
      <c r="G758" s="48">
        <f t="shared" ca="1" si="515"/>
        <v>45657.666666666599</v>
      </c>
      <c r="H758" s="31">
        <f t="shared" ref="H758:J758" ca="1" si="758">(C758/C757) - 1</f>
        <v>1.6296172488718952E-3</v>
      </c>
      <c r="I758" s="31">
        <f t="shared" si="758"/>
        <v>-2.3856858846915685E-4</v>
      </c>
      <c r="J758" s="33">
        <f t="shared" si="758"/>
        <v>-1.6214802545548856E-3</v>
      </c>
    </row>
    <row r="759" spans="2:10" ht="15.75" customHeight="1" x14ac:dyDescent="0.25"/>
    <row r="760" spans="2:10" ht="15.75" customHeight="1" x14ac:dyDescent="0.25"/>
    <row r="761" spans="2:10" ht="15.75" customHeight="1" x14ac:dyDescent="0.25"/>
    <row r="762" spans="2:10" ht="15.75" customHeight="1" x14ac:dyDescent="0.25"/>
    <row r="763" spans="2:10" ht="15.75" customHeight="1" x14ac:dyDescent="0.25"/>
    <row r="764" spans="2:10" ht="15.75" customHeight="1" x14ac:dyDescent="0.25"/>
    <row r="765" spans="2:10" ht="15.75" customHeight="1" x14ac:dyDescent="0.25"/>
    <row r="766" spans="2:10" ht="15.75" customHeight="1" x14ac:dyDescent="0.25"/>
    <row r="767" spans="2:10" ht="15.75" customHeight="1" x14ac:dyDescent="0.25"/>
    <row r="768" spans="2:10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" ht="15.75" customHeight="1" x14ac:dyDescent="0.25">
      <c r="A1" s="3"/>
    </row>
    <row r="2" spans="1:1" ht="15.75" customHeight="1" x14ac:dyDescent="0.25"/>
    <row r="3" spans="1:1" ht="15.75" customHeight="1" x14ac:dyDescent="0.25"/>
    <row r="4" spans="1:1" ht="15.75" customHeight="1" x14ac:dyDescent="0.25"/>
    <row r="5" spans="1:1" ht="15.75" customHeight="1" x14ac:dyDescent="0.25"/>
    <row r="6" spans="1:1" ht="15.75" customHeight="1" x14ac:dyDescent="0.25"/>
    <row r="7" spans="1:1" ht="15.75" customHeight="1" x14ac:dyDescent="0.25"/>
    <row r="8" spans="1:1" ht="15.75" customHeight="1" x14ac:dyDescent="0.25"/>
    <row r="9" spans="1:1" ht="15.75" customHeight="1" x14ac:dyDescent="0.25"/>
    <row r="10" spans="1:1" ht="15.75" customHeight="1" x14ac:dyDescent="0.25"/>
    <row r="11" spans="1:1" ht="15.75" customHeight="1" x14ac:dyDescent="0.25"/>
    <row r="12" spans="1:1" ht="15.75" customHeight="1" x14ac:dyDescent="0.25"/>
    <row r="13" spans="1:1" ht="15.75" customHeight="1" x14ac:dyDescent="0.25"/>
    <row r="14" spans="1:1" ht="15.75" customHeight="1" x14ac:dyDescent="0.25"/>
    <row r="15" spans="1:1" ht="15.75" customHeight="1" x14ac:dyDescent="0.25"/>
    <row r="16" spans="1: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" ht="15.75" customHeight="1" x14ac:dyDescent="0.25">
      <c r="A1" s="3" t="e">
        <f>ModelSheet=Sheet1!A:Z</f>
        <v>#NAME?</v>
      </c>
    </row>
    <row r="2" spans="1:1" ht="15.75" customHeight="1" x14ac:dyDescent="0.25">
      <c r="A2" s="3" t="e">
        <f>OpenSolver_AdjNum=1</f>
        <v>#NAME?</v>
      </c>
    </row>
    <row r="3" spans="1:1" ht="15.75" customHeight="1" x14ac:dyDescent="0.25">
      <c r="A3" s="3" t="e">
        <f>OpenSolver_ChosenSolver=Google</f>
        <v>#NAME?</v>
      </c>
    </row>
    <row r="4" spans="1:1" ht="15.75" customHeight="1" x14ac:dyDescent="0.25">
      <c r="A4" s="3" t="e">
        <f>OpenSolver_FastBuild=0</f>
        <v>#NAME?</v>
      </c>
    </row>
    <row r="5" spans="1:1" ht="15.75" customHeight="1" x14ac:dyDescent="0.25">
      <c r="A5" s="3" t="e">
        <f>OpenSolver_LinearityCheck=1</f>
        <v>#NAME?</v>
      </c>
    </row>
    <row r="6" spans="1:1" ht="15.75" customHeight="1" x14ac:dyDescent="0.25">
      <c r="A6" s="3" t="e">
        <f>solver_adj=Sheet1!R11:T11</f>
        <v>#NAME?</v>
      </c>
    </row>
    <row r="7" spans="1:1" ht="15.75" customHeight="1" x14ac:dyDescent="0.25">
      <c r="A7" s="3" t="e">
        <f>solver_lhs1=Sheet1!U11</f>
        <v>#NAME?</v>
      </c>
    </row>
    <row r="8" spans="1:1" ht="15.75" customHeight="1" x14ac:dyDescent="0.25">
      <c r="A8" s="3" t="e">
        <f>solver_neg=1</f>
        <v>#NAME?</v>
      </c>
    </row>
    <row r="9" spans="1:1" ht="15.75" customHeight="1" x14ac:dyDescent="0.25">
      <c r="A9" s="3" t="e">
        <f>solver_num=1</f>
        <v>#NAME?</v>
      </c>
    </row>
    <row r="10" spans="1:1" ht="15.75" customHeight="1" x14ac:dyDescent="0.25">
      <c r="A10" s="3" t="e">
        <f ca="1">solver_opt=Sheet1!R13</f>
        <v>#NAME?</v>
      </c>
    </row>
    <row r="11" spans="1:1" ht="15.75" customHeight="1" x14ac:dyDescent="0.25">
      <c r="A11" s="3" t="e">
        <f>solver_rel1=2</f>
        <v>#NAME?</v>
      </c>
    </row>
    <row r="12" spans="1:1" ht="15.75" customHeight="1" x14ac:dyDescent="0.25">
      <c r="A12" s="3" t="e">
        <f>solver_rhs1=Sheet1!U5</f>
        <v>#NAME?</v>
      </c>
    </row>
    <row r="13" spans="1:1" ht="15.75" customHeight="1" x14ac:dyDescent="0.25">
      <c r="A13" s="3" t="e">
        <f>solver_sho=1</f>
        <v>#NAME?</v>
      </c>
    </row>
    <row r="14" spans="1:1" ht="15.75" customHeight="1" x14ac:dyDescent="0.25">
      <c r="A14" s="3" t="e">
        <f>solver_typ=2</f>
        <v>#NAME?</v>
      </c>
    </row>
    <row r="15" spans="1:1" ht="15.75" customHeight="1" x14ac:dyDescent="0.25">
      <c r="A15" s="3" t="e">
        <f>solver_val=0</f>
        <v>#NAME?</v>
      </c>
    </row>
    <row r="16" spans="1: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__OpenSolverCache__</vt:lpstr>
      <vt:lpstr>__OpenSolver__</vt:lpstr>
      <vt:lpstr>Sheet1!solver_adj</vt:lpstr>
      <vt:lpstr>Sheet1!solver_lhs1</vt:lpstr>
      <vt:lpstr>Sheet1!solver_lhs2</vt:lpstr>
      <vt:lpstr>Sheet1!solver_lhs3</vt:lpstr>
      <vt:lpstr>Sheet1!solver_lhs4</vt:lpstr>
      <vt:lpstr>Sheet1!solver_opt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Souradeep</cp:lastModifiedBy>
  <dcterms:modified xsi:type="dcterms:W3CDTF">2025-12-21T05:23:40Z</dcterms:modified>
</cp:coreProperties>
</file>